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F247EB27-7F8D-4456-B5F7-66C8F91D2B35}" xr6:coauthVersionLast="36" xr6:coauthVersionMax="36" xr10:uidLastSave="{00000000-0000-0000-0000-000000000000}"/>
  <bookViews>
    <workbookView xWindow="0" yWindow="0" windowWidth="22920" windowHeight="15240" activeTab="3"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data!$A$1:$F$124</definedName>
    <definedName name="_xlnm._FilterDatabase" localSheetId="0" hidden="1">indicator_list!$K$1:$K$40</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65" i="14" l="1"/>
</calcChain>
</file>

<file path=xl/sharedStrings.xml><?xml version="1.0" encoding="utf-8"?>
<sst xmlns="http://schemas.openxmlformats.org/spreadsheetml/2006/main" count="974" uniqueCount="355">
  <si>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</si>
  <si>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</si>
  <si>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</si>
  <si>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</si>
  <si>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</si>
  <si>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</si>
  <si>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</si>
  <si>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</si>
  <si>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</si>
  <si>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</si>
  <si>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</si>
  <si>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</si>
  <si>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</si>
  <si>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</si>
  <si>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</si>
  <si>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</si>
  <si>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</si>
  <si>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</si>
  <si>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</si>
  <si>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</si>
  <si>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</si>
  <si>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</si>
  <si>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</si>
  <si>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</si>
  <si>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</si>
  <si>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</si>
  <si>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</si>
  <si>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</si>
  <si>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</si>
  <si>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</si>
  <si>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</si>
  <si>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</si>
  <si>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</si>
  <si>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</si>
  <si>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</si>
  <si>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</si>
  <si>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</si>
  <si>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</si>
  <si>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</si>
  <si>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</si>
  <si>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</si>
  <si>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</si>
  <si>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</si>
  <si>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</si>
  <si>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</si>
  <si>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</si>
  <si>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</si>
  <si>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</si>
  <si>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</si>
  <si>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</si>
  <si>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</si>
  <si>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</si>
  <si>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</si>
  <si>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</si>
  <si>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</si>
  <si>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</si>
  <si>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</si>
  <si>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</si>
  <si>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</si>
  <si>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</si>
  <si>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</si>
  <si>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</si>
  <si>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</si>
  <si>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</si>
  <si>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</si>
  <si>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</si>
  <si>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</si>
  <si>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</si>
  <si>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</si>
  <si>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</si>
  <si>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</si>
  <si>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</si>
  <si>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</si>
  <si>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</si>
  <si>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</si>
  <si>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</si>
  <si>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</si>
  <si>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</si>
  <si>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</si>
  <si>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</si>
  <si>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</si>
  <si>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</si>
  <si>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</si>
  <si>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</si>
  <si>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</si>
  <si>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</si>
  <si>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</si>
  <si>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</si>
  <si>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</si>
  <si>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</si>
  <si>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</si>
  <si>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</si>
  <si>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</si>
  <si>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</si>
  <si>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</si>
  <si>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</si>
  <si>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</si>
  <si>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</si>
  <si>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</si>
  <si>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</si>
  <si>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</si>
  <si>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</si>
  <si>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</si>
  <si>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</si>
  <si>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</si>
  <si>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Increase</t>
  </si>
  <si>
    <t>Proportion of Council facilities that are disability accessible</t>
  </si>
  <si>
    <t>Goal (Target)</t>
  </si>
  <si>
    <t>The proportion of local roads with a speed limit of 40km/h</t>
  </si>
  <si>
    <t>Net carbon emissions from Council’s operations (tonnes)</t>
  </si>
  <si>
    <t>Total carbon emissions from the community (tonnes)</t>
  </si>
  <si>
    <t>Employment self-sufficiency</t>
  </si>
  <si>
    <t>The proportion of jobs in Moonee Valley filled by residents of Moonee Valley</t>
  </si>
  <si>
    <t>The proportion of households that have made changes either to their homes or lifestyles to become more resilient to climate impacts.</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</si>
  <si>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</si>
  <si>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</si>
  <si>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</si>
  <si>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</si>
  <si>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</si>
  <si>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</si>
  <si>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</si>
  <si>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</si>
  <si>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</si>
  <si>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</si>
  <si>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</si>
  <si>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</si>
  <si>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Proximity to frequent public transport</t>
  </si>
  <si>
    <t>Sustainable transport to work</t>
  </si>
  <si>
    <t>Safe road speeds</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</si>
  <si>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</si>
  <si>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</si>
  <si>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</si>
  <si>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</si>
  <si>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</si>
  <si>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</si>
  <si>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</si>
  <si>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</si>
  <si>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</si>
  <si>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</si>
  <si>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</si>
  <si>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</si>
  <si>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</si>
  <si>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</si>
  <si>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</si>
  <si>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</si>
  <si>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</si>
  <si>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</si>
  <si>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</si>
  <si>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</si>
  <si>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</si>
  <si>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</si>
  <si>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</si>
  <si>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</si>
  <si>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</si>
  <si>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</si>
  <si>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C101</t>
  </si>
  <si>
    <t>C102</t>
  </si>
  <si>
    <t>C103</t>
  </si>
  <si>
    <t>C111</t>
  </si>
  <si>
    <t>C112</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</si>
  <si>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</si>
  <si>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</si>
  <si>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</si>
  <si>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</si>
  <si>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</si>
  <si>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</si>
  <si>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</si>
  <si>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</si>
  <si>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</si>
  <si>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</si>
  <si>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</si>
  <si>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</si>
  <si>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</si>
  <si>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</si>
  <si>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</si>
  <si>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</si>
  <si>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</si>
  <si>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</si>
  <si>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</si>
  <si>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</si>
  <si>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</si>
  <si>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</si>
  <si>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</si>
  <si>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</si>
  <si>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</si>
  <si>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</si>
  <si>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</si>
  <si>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</si>
  <si>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</si>
  <si>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</si>
  <si>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</si>
  <si>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</si>
  <si>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</si>
  <si>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</si>
  <si>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</si>
  <si>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</si>
  <si>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</si>
  <si>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</si>
  <si>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</si>
  <si>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</si>
  <si>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</si>
  <si>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</si>
  <si>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</si>
  <si>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</si>
  <si>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</si>
  <si>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</si>
  <si>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</si>
  <si>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</si>
  <si>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</si>
  <si>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</si>
  <si>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</si>
  <si>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</si>
  <si>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</si>
  <si>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</si>
  <si>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</si>
  <si>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</si>
  <si>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</si>
  <si>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</si>
  <si>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</si>
  <si>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</si>
  <si>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</si>
  <si>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</si>
  <si>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</si>
  <si>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</si>
  <si>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</si>
  <si>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</si>
  <si>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</si>
  <si>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</si>
  <si>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</si>
  <si>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</si>
  <si>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</si>
  <si>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</si>
  <si>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</si>
  <si>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</si>
  <si>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</si>
  <si>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</si>
  <si>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</si>
  <si>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</si>
  <si>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</si>
  <si>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</si>
  <si>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</si>
  <si>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</si>
  <si>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</si>
  <si>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</si>
  <si>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</si>
  <si>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</si>
  <si>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</si>
  <si>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</si>
  <si>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</si>
  <si>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</si>
  <si>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</si>
  <si>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</si>
  <si>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</si>
  <si>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</si>
  <si>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</si>
  <si>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</si>
  <si>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</si>
  <si>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</si>
  <si>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</si>
  <si>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</si>
  <si>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</si>
  <si>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</si>
  <si>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</si>
  <si>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</si>
  <si>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</si>
  <si>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</si>
  <si>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</si>
  <si>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</si>
  <si>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</si>
  <si>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</si>
  <si>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</si>
  <si>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</si>
  <si>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</si>
  <si>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</si>
  <si>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</si>
  <si>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</si>
  <si>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</si>
  <si>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</si>
  <si>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</si>
  <si>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</si>
  <si>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</si>
  <si>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Based on the target in the Creating Liveable Cities in Australia document from RMIT.</t>
  </si>
  <si>
    <t>Community Survey (baseline data from the 2011 VicHealth Indicators Survey)</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</si>
  <si>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</si>
  <si>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</si>
  <si>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</si>
  <si>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</si>
  <si>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Lead</t>
  </si>
  <si>
    <t>Advocate</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</si>
  <si>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</si>
  <si>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</si>
  <si>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</si>
  <si>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</si>
  <si>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</si>
  <si>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</si>
  <si>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</si>
  <si>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</si>
  <si>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Projects per 100,000 population</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</si>
  <si>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</si>
  <si>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</si>
  <si>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</si>
  <si>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</si>
  <si>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</si>
  <si>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Contribute</t>
  </si>
  <si>
    <t xml:space="preserve">By 2040, more people will be socially isolated, with adverse health impacts.  Health or mortality impacts from social isolation are in the same order as smoking. Social connection and feeling part of the community is important for healthy, connected and thriving neighbourhoods. </t>
  </si>
  <si>
    <t xml:space="preserve">In Australia, one in five people have experienced race-based discrimination.  Moonee Valley is diverse with one third of residents speaking a language other than English at home. Communities that value multiculturalism and are socially cohesive are more productive, have a greater sense of belonging, increased civic participation and improved wellbeing for the whole community. </t>
  </si>
  <si>
    <t xml:space="preserve">Moonee Valley is made up of 13 neighbourhoods. Some of these neighbourhoods have good access to community facilities, while others have poor access. Walkable neighbourhoods where facilities and services are within a walkable network creates safe, socially cohesive and sustainable neighbourhoods. </t>
  </si>
  <si>
    <t>Physical inactivity in Australia detracts from social and economic prosperity and puts a burden on the healthcare system, reduces economic productivity and lowers life expectancy. Increasing physical activity will help improve mental health and wellbeing, build safer and connected communities.</t>
  </si>
  <si>
    <t>Better health is central to happiness and wellbeing. Self-assessed health status helps to understand how our community perceive their own health in relation to being overweight or obese, high risk drinkers, smokers or having a sedentary lifestyle. Research has also shown that self-assessed health is a predictor of mortality and morbidity (ABS, 2020).</t>
  </si>
  <si>
    <t xml:space="preserve">The lack of affordable housing is a major contributor to homelessness which is one of the clearest indicators of disadvantage and social exclusion. Affordable housing is a human right and access to safe, secure and appropriate housing will help encourage our community’s ability to participate in life. </t>
  </si>
  <si>
    <t xml:space="preserve">Poor mental health can be associated with reduced physical health and fitness, lower life expectancy and higher morbidity. Positive mental health and wellbeing help to build community resilience and encourage our community to be productive and contribute to our community. </t>
  </si>
  <si>
    <t>Aspirational target for the majority of properties to have access to frequent public transport services.</t>
  </si>
  <si>
    <t xml:space="preserve">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</si>
  <si>
    <t>It is important to ensure that all members of the community can use our Council facilities.</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</si>
  <si>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</si>
  <si>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About 58 per cent of adults did required amount of physical activity as wet out by Australia’s physical activity and sedentary behaviour guidelines (Department of Health, 2014).</t>
  </si>
  <si>
    <t>About 80 per cent of Council's facilities are disability accessible. This is up from 75 per cent in 2018.</t>
  </si>
  <si>
    <t>The lowest non-interface, metropolitan council figure from 2015/16 (Greater Dandenong).</t>
  </si>
  <si>
    <t>Aspirational target based on the desire to have residents feel part of the community.</t>
  </si>
  <si>
    <t>Aspirational target based on the desire to have residents valuing other cultures.</t>
  </si>
  <si>
    <t>Aspirational target (TBC on when initial data is calculated).</t>
  </si>
  <si>
    <t>Aspirational target for safer streets.</t>
  </si>
  <si>
    <t>Highest metropolitan result in 2017 survey (Port Philip).</t>
  </si>
  <si>
    <t>Lowest metropolitan result in the 2017 VPHS (Boroondara).</t>
  </si>
  <si>
    <t>Aspirational target for a healthier population.</t>
  </si>
  <si>
    <t>Lowest metropolitan result in the 2018 AEDC (Bayside).</t>
  </si>
  <si>
    <t>Increase of 5% on the estimate for metropolitan councils in 2019.</t>
  </si>
  <si>
    <t>Decrease  of 5% from baseline to 2040.</t>
  </si>
  <si>
    <t>Lowest metropolitan result in June 2018 SALM (Nillumbik).</t>
  </si>
  <si>
    <t>Highest metropolitan result in 2016 Census (Boroondara).</t>
  </si>
  <si>
    <t>Increase of 5% from baseline to 2040.</t>
  </si>
  <si>
    <t>Highest non-interface metropolitan result in 2016 Census (Frankston).</t>
  </si>
  <si>
    <t>Target set in MV2040.</t>
  </si>
  <si>
    <t>From the Council aim of progress towards zero trauma vision and in line with Victorian Public Health Framework.</t>
  </si>
  <si>
    <t>Aspirational target based on action in the MV Transport Safety Strategy.</t>
  </si>
  <si>
    <t>Increase of 30% from baseline to 2040.</t>
  </si>
  <si>
    <t>Target set in the 2040 Vision - A water sensitive city document.</t>
  </si>
  <si>
    <t>Desire for all buildings to be disability accessible under the Disability Discrimination Act.</t>
  </si>
  <si>
    <t>All open spaces to be upgraded by 2040.</t>
  </si>
  <si>
    <t xml:space="preserve">In Moonee Valley, income inequality is increasing. More equal communities are healthier and happier. “If rising inequality is not properly monitored and addressed, it can lead to various sorts of political, economic, and social catastrophes” (World Inequality Report, 2018). </t>
  </si>
  <si>
    <t>The extent to which feeling safe or unsafe can affect health and wellbeing. If people feel unsafe in their local community, it can adversely influence their social activities and interactions. Safe neighbourhoods help create connected, healthy and thriving communities.</t>
  </si>
  <si>
    <t>Proportion of open spaces upgraded since 2018</t>
  </si>
  <si>
    <t>The proportion of residents who rate their household's ability to cope with climate related impacts as either 'well' or 'very well'</t>
  </si>
  <si>
    <t>The percentage of residents who either select 'safe' or 'very safe' when walking alone in their local area during the night</t>
  </si>
  <si>
    <t>T091</t>
  </si>
  <si>
    <t>Technology ready</t>
  </si>
  <si>
    <t>Enabling Digital Improvement Services</t>
  </si>
  <si>
    <t>Aspiration to increase the services offered digitally and improve customer experience</t>
  </si>
  <si>
    <t>Community continue to have an increased expectation in local government and the enabling of additional services digitally will increase accessibilty and improved better customer experience through the digital transformation program.</t>
  </si>
  <si>
    <t>Proportion of Council services and transactions offered to community that can be completed digitally</t>
  </si>
  <si>
    <t>IT</t>
  </si>
  <si>
    <t>This is an interim figure only!!!  ----- Council already offer different services which enabled customers to transact online. This measure is to improve the experience and enabled more services.</t>
  </si>
  <si>
    <t>This is an interim figure only!!! ----- At present there are numerous local roads with a speed limit of 40km/h, and we have an ongoing CAPEX project, where we implement 40km/h speed limit in further local roads each year.</t>
  </si>
  <si>
    <t>Community-led development gives “enhanced power and capacity of communities to take charge of their own development” (https://communityleddev.org/2018/03/05/community-led-development-and-its-rationale/). It takes away the paternalistic problem-based service offerings and allows for an asset based model of development driven by the community. The community funding program provides an important role in creating and providing the funding to foster and develop these opportunities.</t>
  </si>
  <si>
    <t>There were approximately 48 community run projects supported by grants per 100,000 population in the 2018/19 financial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</si>
</sst>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0">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0"/>
  <sheetViews>
    <sheetView zoomScale="90" zoomScaleNormal="90" workbookViewId="0">
      <pane ySplit="1" topLeftCell="A17" activePane="bottomLeft" state="frozen"/>
      <selection pane="bottomLeft" activeCell="E19" sqref="E19"/>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9" t="s">
        <v>176</v>
      </c>
      <c r="B1" s="9" t="s">
        <v>1</v>
      </c>
      <c r="C1" s="9" t="s">
        <v>2</v>
      </c>
      <c r="D1" s="9" t="s">
        <v>63</v>
      </c>
      <c r="E1" s="9" t="s">
        <v>55</v>
      </c>
      <c r="F1" s="9" t="s">
        <v>8</v>
      </c>
      <c r="G1" s="9" t="s">
        <v>70</v>
      </c>
      <c r="H1" s="9" t="s">
        <v>201</v>
      </c>
      <c r="I1" s="9" t="s">
        <v>7</v>
      </c>
      <c r="J1" s="9" t="s">
        <v>206</v>
      </c>
      <c r="K1" s="9" t="s">
        <v>286</v>
      </c>
      <c r="L1" s="9" t="s">
        <v>252</v>
      </c>
    </row>
    <row r="2" spans="1:12" ht="90" x14ac:dyDescent="0.25">
      <c r="A2" t="s">
        <v>139</v>
      </c>
      <c r="B2" s="12" t="s">
        <v>0</v>
      </c>
      <c r="C2" s="1" t="s">
        <v>72</v>
      </c>
      <c r="D2" s="4" t="s">
        <v>85</v>
      </c>
      <c r="E2" s="4" t="s">
        <v>71</v>
      </c>
      <c r="F2" s="1" t="s">
        <v>276</v>
      </c>
      <c r="G2" s="21" t="s">
        <v>317</v>
      </c>
      <c r="H2" s="4" t="s">
        <v>208</v>
      </c>
      <c r="I2" s="4" t="s">
        <v>339</v>
      </c>
      <c r="J2" t="s">
        <v>117</v>
      </c>
      <c r="K2" t="s">
        <v>303</v>
      </c>
      <c r="L2" t="s">
        <v>255</v>
      </c>
    </row>
    <row r="3" spans="1:12" ht="90" x14ac:dyDescent="0.25">
      <c r="A3" t="s">
        <v>141</v>
      </c>
      <c r="B3" s="12" t="s">
        <v>0</v>
      </c>
      <c r="C3" s="1" t="s">
        <v>72</v>
      </c>
      <c r="D3" s="4" t="s">
        <v>78</v>
      </c>
      <c r="E3" s="4" t="s">
        <v>190</v>
      </c>
      <c r="F3" s="1" t="s">
        <v>10</v>
      </c>
      <c r="G3" s="21" t="s">
        <v>318</v>
      </c>
      <c r="H3" s="4" t="s">
        <v>209</v>
      </c>
      <c r="I3" s="4" t="s">
        <v>304</v>
      </c>
      <c r="J3" t="s">
        <v>105</v>
      </c>
      <c r="K3" t="s">
        <v>303</v>
      </c>
      <c r="L3" t="s">
        <v>255</v>
      </c>
    </row>
    <row r="4" spans="1:12" ht="120" x14ac:dyDescent="0.25">
      <c r="A4" t="s">
        <v>140</v>
      </c>
      <c r="B4" s="12" t="s">
        <v>0</v>
      </c>
      <c r="C4" s="1" t="s">
        <v>72</v>
      </c>
      <c r="D4" s="4" t="s">
        <v>119</v>
      </c>
      <c r="E4" s="4" t="s">
        <v>191</v>
      </c>
      <c r="F4" s="1" t="s">
        <v>10</v>
      </c>
      <c r="G4" s="21" t="s">
        <v>319</v>
      </c>
      <c r="H4" s="4" t="s">
        <v>210</v>
      </c>
      <c r="I4" s="4" t="s">
        <v>305</v>
      </c>
      <c r="J4" t="s">
        <v>105</v>
      </c>
      <c r="K4" t="s">
        <v>303</v>
      </c>
      <c r="L4" t="s">
        <v>255</v>
      </c>
    </row>
    <row r="5" spans="1:12" ht="90" x14ac:dyDescent="0.25">
      <c r="A5" t="s">
        <v>142</v>
      </c>
      <c r="B5" s="12" t="s">
        <v>0</v>
      </c>
      <c r="C5" s="1" t="s">
        <v>91</v>
      </c>
      <c r="D5" s="5" t="s">
        <v>120</v>
      </c>
      <c r="E5" s="7" t="s">
        <v>207</v>
      </c>
      <c r="F5" s="4" t="s">
        <v>137</v>
      </c>
      <c r="G5" s="21" t="s">
        <v>320</v>
      </c>
      <c r="H5" s="37" t="s">
        <v>229</v>
      </c>
      <c r="I5" s="4" t="s">
        <v>306</v>
      </c>
      <c r="J5" t="s">
        <v>105</v>
      </c>
      <c r="K5" t="s">
        <v>287</v>
      </c>
      <c r="L5" t="s">
        <v>267</v>
      </c>
    </row>
    <row r="6" spans="1:12" ht="90" x14ac:dyDescent="0.25">
      <c r="A6" t="s">
        <v>143</v>
      </c>
      <c r="B6" s="12" t="s">
        <v>0</v>
      </c>
      <c r="C6" s="1" t="s">
        <v>51</v>
      </c>
      <c r="D6" s="4" t="s">
        <v>121</v>
      </c>
      <c r="E6" s="4" t="s">
        <v>343</v>
      </c>
      <c r="F6" s="3" t="s">
        <v>49</v>
      </c>
      <c r="G6" s="21" t="s">
        <v>321</v>
      </c>
      <c r="H6" s="4" t="s">
        <v>211</v>
      </c>
      <c r="I6" s="4" t="s">
        <v>340</v>
      </c>
      <c r="J6" t="s">
        <v>105</v>
      </c>
      <c r="K6" t="s">
        <v>303</v>
      </c>
      <c r="L6" t="s">
        <v>255</v>
      </c>
    </row>
    <row r="7" spans="1:12" ht="90" x14ac:dyDescent="0.25">
      <c r="A7" t="s">
        <v>144</v>
      </c>
      <c r="B7" s="12" t="s">
        <v>0</v>
      </c>
      <c r="C7" s="1" t="s">
        <v>51</v>
      </c>
      <c r="D7" s="4" t="s">
        <v>77</v>
      </c>
      <c r="E7" s="4" t="s">
        <v>289</v>
      </c>
      <c r="F7" s="1" t="s">
        <v>9</v>
      </c>
      <c r="G7" s="21" t="s">
        <v>322</v>
      </c>
      <c r="H7" s="4" t="s">
        <v>315</v>
      </c>
      <c r="I7" s="4" t="s">
        <v>307</v>
      </c>
      <c r="J7" t="s">
        <v>105</v>
      </c>
      <c r="K7" t="s">
        <v>303</v>
      </c>
      <c r="L7" t="s">
        <v>255</v>
      </c>
    </row>
    <row r="8" spans="1:12" ht="90" x14ac:dyDescent="0.25">
      <c r="A8" t="s">
        <v>147</v>
      </c>
      <c r="B8" s="12" t="s">
        <v>0</v>
      </c>
      <c r="C8" s="1" t="s">
        <v>51</v>
      </c>
      <c r="D8" s="4" t="s">
        <v>75</v>
      </c>
      <c r="E8" s="4" t="s">
        <v>56</v>
      </c>
      <c r="F8" s="1" t="s">
        <v>9</v>
      </c>
      <c r="G8" s="21" t="s">
        <v>323</v>
      </c>
      <c r="H8" s="4" t="s">
        <v>213</v>
      </c>
      <c r="I8" s="4" t="s">
        <v>310</v>
      </c>
      <c r="J8" t="s">
        <v>117</v>
      </c>
      <c r="K8" t="s">
        <v>303</v>
      </c>
      <c r="L8" t="s">
        <v>255</v>
      </c>
    </row>
    <row r="9" spans="1:12" ht="105" x14ac:dyDescent="0.25">
      <c r="A9" t="s">
        <v>183</v>
      </c>
      <c r="B9" s="12" t="s">
        <v>0</v>
      </c>
      <c r="C9" s="1" t="s">
        <v>51</v>
      </c>
      <c r="D9" s="4" t="s">
        <v>88</v>
      </c>
      <c r="E9" s="4" t="s">
        <v>76</v>
      </c>
      <c r="F9" s="1" t="s">
        <v>10</v>
      </c>
      <c r="G9" s="21" t="s">
        <v>324</v>
      </c>
      <c r="H9" s="4" t="s">
        <v>212</v>
      </c>
      <c r="I9" s="4" t="s">
        <v>308</v>
      </c>
      <c r="J9" t="s">
        <v>105</v>
      </c>
      <c r="K9" t="s">
        <v>303</v>
      </c>
      <c r="L9" t="s">
        <v>255</v>
      </c>
    </row>
    <row r="10" spans="1:12" ht="195" x14ac:dyDescent="0.25">
      <c r="A10" t="s">
        <v>184</v>
      </c>
      <c r="B10" s="12" t="s">
        <v>0</v>
      </c>
      <c r="C10" s="1" t="s">
        <v>51</v>
      </c>
      <c r="D10" s="4" t="s">
        <v>122</v>
      </c>
      <c r="E10" s="4" t="s">
        <v>118</v>
      </c>
      <c r="F10" s="1" t="s">
        <v>12</v>
      </c>
      <c r="G10" s="21" t="s">
        <v>325</v>
      </c>
      <c r="H10" s="10" t="s">
        <v>314</v>
      </c>
      <c r="I10" s="10" t="s">
        <v>298</v>
      </c>
      <c r="J10" t="s">
        <v>105</v>
      </c>
      <c r="K10" t="s">
        <v>303</v>
      </c>
      <c r="L10" t="s">
        <v>258</v>
      </c>
    </row>
    <row r="11" spans="1:12" ht="60" x14ac:dyDescent="0.25">
      <c r="A11" t="s">
        <v>145</v>
      </c>
      <c r="B11" s="12" t="s">
        <v>0</v>
      </c>
      <c r="C11" s="1" t="s">
        <v>97</v>
      </c>
      <c r="D11" s="4" t="s">
        <v>123</v>
      </c>
      <c r="E11" s="4" t="s">
        <v>84</v>
      </c>
      <c r="F11" s="1" t="s">
        <v>64</v>
      </c>
      <c r="G11" s="21" t="s">
        <v>326</v>
      </c>
      <c r="H11" s="4" t="s">
        <v>273</v>
      </c>
      <c r="I11" s="4" t="s">
        <v>274</v>
      </c>
      <c r="J11" t="s">
        <v>105</v>
      </c>
      <c r="K11" t="s">
        <v>287</v>
      </c>
      <c r="L11" t="s">
        <v>260</v>
      </c>
    </row>
    <row r="12" spans="1:12" ht="105" x14ac:dyDescent="0.25">
      <c r="A12" t="s">
        <v>146</v>
      </c>
      <c r="B12" s="12" t="s">
        <v>0</v>
      </c>
      <c r="C12" s="1" t="s">
        <v>53</v>
      </c>
      <c r="D12" s="4" t="s">
        <v>79</v>
      </c>
      <c r="E12" s="4" t="s">
        <v>114</v>
      </c>
      <c r="F12" s="1" t="s">
        <v>277</v>
      </c>
      <c r="G12" s="17" t="s">
        <v>327</v>
      </c>
      <c r="H12" s="4" t="s">
        <v>214</v>
      </c>
      <c r="I12" s="4" t="s">
        <v>309</v>
      </c>
      <c r="J12" t="s">
        <v>117</v>
      </c>
      <c r="K12" t="s">
        <v>303</v>
      </c>
      <c r="L12" t="s">
        <v>259</v>
      </c>
    </row>
    <row r="13" spans="1:12" ht="90" x14ac:dyDescent="0.25">
      <c r="A13" t="s">
        <v>148</v>
      </c>
      <c r="B13" s="13" t="s">
        <v>3</v>
      </c>
      <c r="C13" s="1" t="s">
        <v>92</v>
      </c>
      <c r="D13" s="4" t="s">
        <v>80</v>
      </c>
      <c r="E13" s="4" t="s">
        <v>58</v>
      </c>
      <c r="F13" s="1" t="s">
        <v>205</v>
      </c>
      <c r="G13" s="21" t="s">
        <v>328</v>
      </c>
      <c r="H13" s="4" t="s">
        <v>233</v>
      </c>
      <c r="I13" s="4" t="s">
        <v>266</v>
      </c>
      <c r="J13" t="s">
        <v>117</v>
      </c>
      <c r="K13" t="s">
        <v>303</v>
      </c>
      <c r="L13" t="s">
        <v>253</v>
      </c>
    </row>
    <row r="14" spans="1:12" ht="180" x14ac:dyDescent="0.25">
      <c r="A14" t="s">
        <v>149</v>
      </c>
      <c r="B14" s="13" t="s">
        <v>3</v>
      </c>
      <c r="C14" s="1" t="s">
        <v>92</v>
      </c>
      <c r="D14" s="4" t="s">
        <v>81</v>
      </c>
      <c r="E14" s="4" t="s">
        <v>57</v>
      </c>
      <c r="F14" s="1" t="s">
        <v>277</v>
      </c>
      <c r="G14" s="21" t="s">
        <v>329</v>
      </c>
      <c r="H14" s="4" t="s">
        <v>280</v>
      </c>
      <c r="I14" s="4" t="s">
        <v>279</v>
      </c>
      <c r="J14" t="s">
        <v>105</v>
      </c>
      <c r="K14" t="s">
        <v>303</v>
      </c>
      <c r="L14" t="s">
        <v>257</v>
      </c>
    </row>
    <row r="15" spans="1:12" ht="150" x14ac:dyDescent="0.25">
      <c r="A15" t="s">
        <v>150</v>
      </c>
      <c r="B15" s="13" t="s">
        <v>3</v>
      </c>
      <c r="C15" s="1" t="s">
        <v>92</v>
      </c>
      <c r="D15" s="4" t="s">
        <v>82</v>
      </c>
      <c r="E15" s="4" t="s">
        <v>215</v>
      </c>
      <c r="F15" s="3" t="s">
        <v>265</v>
      </c>
      <c r="G15" s="20" t="s">
        <v>330</v>
      </c>
      <c r="H15" s="4" t="s">
        <v>294</v>
      </c>
      <c r="I15" s="4" t="s">
        <v>299</v>
      </c>
      <c r="J15" t="s">
        <v>105</v>
      </c>
      <c r="K15" t="s">
        <v>287</v>
      </c>
      <c r="L15" t="s">
        <v>258</v>
      </c>
    </row>
    <row r="16" spans="1:12" ht="105" x14ac:dyDescent="0.25">
      <c r="A16" t="s">
        <v>151</v>
      </c>
      <c r="B16" s="13" t="s">
        <v>3</v>
      </c>
      <c r="C16" s="1" t="s">
        <v>92</v>
      </c>
      <c r="D16" s="4" t="s">
        <v>290</v>
      </c>
      <c r="E16" s="4" t="s">
        <v>291</v>
      </c>
      <c r="F16" s="3" t="s">
        <v>293</v>
      </c>
      <c r="G16" s="20" t="s">
        <v>330</v>
      </c>
      <c r="H16" s="4" t="s">
        <v>295</v>
      </c>
      <c r="I16" s="4" t="s">
        <v>296</v>
      </c>
      <c r="J16" t="s">
        <v>105</v>
      </c>
      <c r="K16" t="s">
        <v>287</v>
      </c>
      <c r="L16" t="s">
        <v>256</v>
      </c>
    </row>
    <row r="17" spans="1:12" ht="60" x14ac:dyDescent="0.25">
      <c r="A17" t="s">
        <v>152</v>
      </c>
      <c r="B17" s="13" t="s">
        <v>3</v>
      </c>
      <c r="C17" s="1" t="s">
        <v>93</v>
      </c>
      <c r="D17" s="4" t="s">
        <v>111</v>
      </c>
      <c r="E17" s="4" t="s">
        <v>112</v>
      </c>
      <c r="F17" s="1" t="s">
        <v>277</v>
      </c>
      <c r="G17" s="21" t="s">
        <v>331</v>
      </c>
      <c r="H17" s="4" t="s">
        <v>216</v>
      </c>
      <c r="I17" s="4" t="s">
        <v>283</v>
      </c>
      <c r="J17" t="s">
        <v>105</v>
      </c>
      <c r="K17" t="s">
        <v>288</v>
      </c>
      <c r="L17" t="s">
        <v>253</v>
      </c>
    </row>
    <row r="18" spans="1:12" ht="165" x14ac:dyDescent="0.25">
      <c r="A18" t="s">
        <v>153</v>
      </c>
      <c r="B18" s="13" t="s">
        <v>3</v>
      </c>
      <c r="C18" s="1" t="s">
        <v>73</v>
      </c>
      <c r="D18" s="4" t="s">
        <v>124</v>
      </c>
      <c r="E18" s="4" t="s">
        <v>104</v>
      </c>
      <c r="F18" s="3" t="s">
        <v>103</v>
      </c>
      <c r="G18" s="20" t="s">
        <v>330</v>
      </c>
      <c r="H18" s="4" t="s">
        <v>354</v>
      </c>
      <c r="I18" s="4" t="s">
        <v>353</v>
      </c>
      <c r="J18" t="s">
        <v>105</v>
      </c>
      <c r="K18" t="s">
        <v>287</v>
      </c>
      <c r="L18" t="s">
        <v>255</v>
      </c>
    </row>
    <row r="19" spans="1:12" ht="60" x14ac:dyDescent="0.25">
      <c r="A19" t="s">
        <v>154</v>
      </c>
      <c r="B19" s="13" t="s">
        <v>3</v>
      </c>
      <c r="C19" s="1" t="s">
        <v>73</v>
      </c>
      <c r="D19" s="4" t="s">
        <v>125</v>
      </c>
      <c r="E19" s="4" t="s">
        <v>115</v>
      </c>
      <c r="F19" s="1" t="s">
        <v>64</v>
      </c>
      <c r="G19" s="21" t="s">
        <v>326</v>
      </c>
      <c r="H19" s="4" t="s">
        <v>217</v>
      </c>
      <c r="I19" s="4" t="s">
        <v>284</v>
      </c>
      <c r="J19" t="s">
        <v>105</v>
      </c>
      <c r="K19" t="s">
        <v>287</v>
      </c>
      <c r="L19" t="s">
        <v>254</v>
      </c>
    </row>
    <row r="20" spans="1:12" ht="75" x14ac:dyDescent="0.25">
      <c r="A20" t="s">
        <v>344</v>
      </c>
      <c r="B20" s="13" t="s">
        <v>3</v>
      </c>
      <c r="C20" s="1" t="s">
        <v>345</v>
      </c>
      <c r="D20" s="4" t="s">
        <v>346</v>
      </c>
      <c r="E20" s="4" t="s">
        <v>349</v>
      </c>
      <c r="F20" s="1" t="s">
        <v>11</v>
      </c>
      <c r="G20" s="21" t="s">
        <v>347</v>
      </c>
      <c r="H20" s="4" t="s">
        <v>351</v>
      </c>
      <c r="I20" s="4" t="s">
        <v>348</v>
      </c>
      <c r="J20" t="s">
        <v>105</v>
      </c>
      <c r="K20" t="s">
        <v>287</v>
      </c>
      <c r="L20" t="s">
        <v>350</v>
      </c>
    </row>
    <row r="21" spans="1:12" ht="120" x14ac:dyDescent="0.25">
      <c r="A21" t="s">
        <v>155</v>
      </c>
      <c r="B21" s="22" t="s">
        <v>4</v>
      </c>
      <c r="C21" s="1" t="s">
        <v>74</v>
      </c>
      <c r="D21" s="4" t="s">
        <v>126</v>
      </c>
      <c r="E21" s="4" t="s">
        <v>59</v>
      </c>
      <c r="F21" s="3" t="s">
        <v>263</v>
      </c>
      <c r="G21" s="21" t="s">
        <v>311</v>
      </c>
      <c r="H21" s="4" t="s">
        <v>312</v>
      </c>
      <c r="I21" s="4" t="s">
        <v>302</v>
      </c>
      <c r="J21" t="s">
        <v>105</v>
      </c>
      <c r="K21" t="s">
        <v>288</v>
      </c>
      <c r="L21" t="s">
        <v>251</v>
      </c>
    </row>
    <row r="22" spans="1:12" ht="45" x14ac:dyDescent="0.25">
      <c r="A22" t="s">
        <v>156</v>
      </c>
      <c r="B22" s="22" t="s">
        <v>4</v>
      </c>
      <c r="C22" s="1" t="s">
        <v>74</v>
      </c>
      <c r="D22" s="4" t="s">
        <v>127</v>
      </c>
      <c r="E22" s="4" t="s">
        <v>90</v>
      </c>
      <c r="F22" s="1" t="s">
        <v>277</v>
      </c>
      <c r="G22" s="18" t="s">
        <v>332</v>
      </c>
      <c r="H22" s="4" t="s">
        <v>218</v>
      </c>
      <c r="I22" s="4" t="s">
        <v>261</v>
      </c>
      <c r="J22" t="s">
        <v>105</v>
      </c>
      <c r="K22" t="s">
        <v>303</v>
      </c>
      <c r="L22" t="s">
        <v>251</v>
      </c>
    </row>
    <row r="23" spans="1:12" ht="75" x14ac:dyDescent="0.25">
      <c r="A23" t="s">
        <v>157</v>
      </c>
      <c r="B23" s="22" t="s">
        <v>4</v>
      </c>
      <c r="C23" s="1" t="s">
        <v>74</v>
      </c>
      <c r="D23" s="4" t="s">
        <v>185</v>
      </c>
      <c r="E23" s="4" t="s">
        <v>116</v>
      </c>
      <c r="F23" s="1" t="s">
        <v>277</v>
      </c>
      <c r="G23" s="20" t="s">
        <v>330</v>
      </c>
      <c r="H23" s="4" t="s">
        <v>219</v>
      </c>
      <c r="I23" s="4" t="s">
        <v>300</v>
      </c>
      <c r="J23" t="s">
        <v>105</v>
      </c>
      <c r="K23" t="s">
        <v>303</v>
      </c>
      <c r="L23" t="s">
        <v>251</v>
      </c>
    </row>
    <row r="24" spans="1:12" ht="75" x14ac:dyDescent="0.25">
      <c r="A24" t="s">
        <v>158</v>
      </c>
      <c r="B24" s="22" t="s">
        <v>4</v>
      </c>
      <c r="C24" s="1" t="s">
        <v>74</v>
      </c>
      <c r="D24" s="4" t="s">
        <v>136</v>
      </c>
      <c r="E24" s="4" t="s">
        <v>234</v>
      </c>
      <c r="F24" s="1" t="s">
        <v>235</v>
      </c>
      <c r="G24" s="18" t="s">
        <v>333</v>
      </c>
      <c r="H24" s="4" t="s">
        <v>236</v>
      </c>
      <c r="I24" s="4" t="s">
        <v>275</v>
      </c>
      <c r="J24" t="s">
        <v>117</v>
      </c>
      <c r="K24" t="s">
        <v>303</v>
      </c>
      <c r="L24" t="s">
        <v>251</v>
      </c>
    </row>
    <row r="25" spans="1:12" ht="120" x14ac:dyDescent="0.25">
      <c r="A25" t="s">
        <v>159</v>
      </c>
      <c r="B25" s="22" t="s">
        <v>4</v>
      </c>
      <c r="C25" s="1" t="s">
        <v>74</v>
      </c>
      <c r="D25" s="4" t="s">
        <v>128</v>
      </c>
      <c r="E25" s="4" t="s">
        <v>108</v>
      </c>
      <c r="F25" s="1" t="s">
        <v>11</v>
      </c>
      <c r="G25" s="21" t="s">
        <v>334</v>
      </c>
      <c r="H25" s="37" t="s">
        <v>352</v>
      </c>
      <c r="I25" s="4" t="s">
        <v>301</v>
      </c>
      <c r="J25" t="s">
        <v>105</v>
      </c>
      <c r="K25" t="s">
        <v>287</v>
      </c>
      <c r="L25" t="s">
        <v>251</v>
      </c>
    </row>
    <row r="26" spans="1:12" ht="90" x14ac:dyDescent="0.25">
      <c r="A26" t="s">
        <v>160</v>
      </c>
      <c r="B26" s="14" t="s">
        <v>5</v>
      </c>
      <c r="C26" s="1" t="s">
        <v>94</v>
      </c>
      <c r="D26" s="4" t="s">
        <v>129</v>
      </c>
      <c r="E26" s="4" t="s">
        <v>109</v>
      </c>
      <c r="F26" s="1" t="s">
        <v>11</v>
      </c>
      <c r="G26" s="18" t="s">
        <v>332</v>
      </c>
      <c r="H26" s="4" t="s">
        <v>245</v>
      </c>
      <c r="I26" s="4" t="s">
        <v>238</v>
      </c>
      <c r="J26" t="s">
        <v>117</v>
      </c>
      <c r="K26" t="s">
        <v>287</v>
      </c>
      <c r="L26" t="s">
        <v>248</v>
      </c>
    </row>
    <row r="27" spans="1:12" ht="60" x14ac:dyDescent="0.25">
      <c r="A27" t="s">
        <v>167</v>
      </c>
      <c r="B27" s="14" t="s">
        <v>5</v>
      </c>
      <c r="C27" s="1" t="s">
        <v>94</v>
      </c>
      <c r="D27" s="4" t="s">
        <v>130</v>
      </c>
      <c r="E27" s="4" t="s">
        <v>110</v>
      </c>
      <c r="F27" s="1" t="s">
        <v>11</v>
      </c>
      <c r="G27" s="18" t="s">
        <v>332</v>
      </c>
      <c r="H27" s="4" t="s">
        <v>220</v>
      </c>
      <c r="I27" s="4" t="s">
        <v>239</v>
      </c>
      <c r="J27" t="s">
        <v>117</v>
      </c>
      <c r="K27" t="s">
        <v>287</v>
      </c>
      <c r="L27" t="s">
        <v>248</v>
      </c>
    </row>
    <row r="28" spans="1:12" ht="45" x14ac:dyDescent="0.25">
      <c r="A28" t="s">
        <v>161</v>
      </c>
      <c r="B28" s="14" t="s">
        <v>5</v>
      </c>
      <c r="C28" s="11" t="s">
        <v>89</v>
      </c>
      <c r="D28" s="4" t="s">
        <v>86</v>
      </c>
      <c r="E28" s="4" t="s">
        <v>65</v>
      </c>
      <c r="F28" s="1" t="s">
        <v>11</v>
      </c>
      <c r="G28" s="20" t="s">
        <v>335</v>
      </c>
      <c r="H28" s="4" t="s">
        <v>221</v>
      </c>
      <c r="I28" s="4" t="s">
        <v>240</v>
      </c>
      <c r="J28" t="s">
        <v>105</v>
      </c>
      <c r="K28" t="s">
        <v>287</v>
      </c>
      <c r="L28" t="s">
        <v>248</v>
      </c>
    </row>
    <row r="29" spans="1:12" ht="45" x14ac:dyDescent="0.25">
      <c r="A29" t="s">
        <v>168</v>
      </c>
      <c r="B29" s="14" t="s">
        <v>5</v>
      </c>
      <c r="C29" s="1" t="s">
        <v>54</v>
      </c>
      <c r="D29" s="4" t="s">
        <v>66</v>
      </c>
      <c r="E29" s="4" t="s">
        <v>226</v>
      </c>
      <c r="F29" s="2" t="s">
        <v>48</v>
      </c>
      <c r="G29" s="18" t="s">
        <v>336</v>
      </c>
      <c r="H29" s="4" t="s">
        <v>224</v>
      </c>
      <c r="I29" s="4" t="s">
        <v>241</v>
      </c>
      <c r="J29" t="s">
        <v>117</v>
      </c>
      <c r="K29" t="s">
        <v>287</v>
      </c>
      <c r="L29" t="s">
        <v>248</v>
      </c>
    </row>
    <row r="30" spans="1:12" ht="60" x14ac:dyDescent="0.25">
      <c r="A30" t="s">
        <v>169</v>
      </c>
      <c r="B30" s="14" t="s">
        <v>5</v>
      </c>
      <c r="C30" s="1" t="s">
        <v>54</v>
      </c>
      <c r="D30" s="4" t="s">
        <v>131</v>
      </c>
      <c r="E30" s="4" t="s">
        <v>189</v>
      </c>
      <c r="F30" s="2" t="s">
        <v>48</v>
      </c>
      <c r="G30" s="18" t="s">
        <v>336</v>
      </c>
      <c r="H30" s="4" t="s">
        <v>222</v>
      </c>
      <c r="I30" s="4" t="s">
        <v>242</v>
      </c>
      <c r="J30" t="s">
        <v>117</v>
      </c>
      <c r="K30" t="s">
        <v>287</v>
      </c>
      <c r="L30" t="s">
        <v>248</v>
      </c>
    </row>
    <row r="31" spans="1:12" ht="45" x14ac:dyDescent="0.25">
      <c r="A31" t="s">
        <v>170</v>
      </c>
      <c r="B31" s="14" t="s">
        <v>5</v>
      </c>
      <c r="C31" s="11" t="s">
        <v>89</v>
      </c>
      <c r="D31" s="4" t="s">
        <v>87</v>
      </c>
      <c r="E31" s="4" t="s">
        <v>60</v>
      </c>
      <c r="F31" s="1" t="s">
        <v>278</v>
      </c>
      <c r="G31" s="18" t="s">
        <v>332</v>
      </c>
      <c r="H31" s="4" t="s">
        <v>223</v>
      </c>
      <c r="I31" s="4" t="s">
        <v>243</v>
      </c>
      <c r="J31" t="s">
        <v>105</v>
      </c>
      <c r="K31" t="s">
        <v>287</v>
      </c>
      <c r="L31" t="s">
        <v>248</v>
      </c>
    </row>
    <row r="32" spans="1:12" ht="45" x14ac:dyDescent="0.25">
      <c r="A32" t="s">
        <v>171</v>
      </c>
      <c r="B32" s="14" t="s">
        <v>5</v>
      </c>
      <c r="C32" s="1" t="s">
        <v>54</v>
      </c>
      <c r="D32" s="4" t="s">
        <v>67</v>
      </c>
      <c r="E32" s="4" t="s">
        <v>225</v>
      </c>
      <c r="F32" s="2" t="s">
        <v>48</v>
      </c>
      <c r="G32" s="18" t="s">
        <v>336</v>
      </c>
      <c r="H32" s="4" t="s">
        <v>227</v>
      </c>
      <c r="I32" s="4" t="s">
        <v>246</v>
      </c>
      <c r="J32" t="s">
        <v>117</v>
      </c>
      <c r="K32" t="s">
        <v>287</v>
      </c>
      <c r="L32" t="s">
        <v>248</v>
      </c>
    </row>
    <row r="33" spans="1:12" ht="165" x14ac:dyDescent="0.25">
      <c r="A33" t="s">
        <v>162</v>
      </c>
      <c r="B33" s="14" t="s">
        <v>5</v>
      </c>
      <c r="C33" s="1" t="s">
        <v>52</v>
      </c>
      <c r="D33" s="4" t="s">
        <v>202</v>
      </c>
      <c r="E33" s="4" t="s">
        <v>61</v>
      </c>
      <c r="F33" s="1" t="s">
        <v>50</v>
      </c>
      <c r="G33" s="18" t="s">
        <v>332</v>
      </c>
      <c r="H33" s="4" t="s">
        <v>232</v>
      </c>
      <c r="I33" s="4" t="s">
        <v>247</v>
      </c>
      <c r="J33" t="s">
        <v>105</v>
      </c>
      <c r="K33" t="s">
        <v>303</v>
      </c>
      <c r="L33" t="s">
        <v>248</v>
      </c>
    </row>
    <row r="34" spans="1:12" ht="135" x14ac:dyDescent="0.25">
      <c r="A34" t="s">
        <v>163</v>
      </c>
      <c r="B34" s="14" t="s">
        <v>5</v>
      </c>
      <c r="C34" s="1" t="s">
        <v>95</v>
      </c>
      <c r="D34" s="4" t="s">
        <v>132</v>
      </c>
      <c r="E34" s="4" t="s">
        <v>342</v>
      </c>
      <c r="F34" s="1" t="s">
        <v>64</v>
      </c>
      <c r="G34" s="21" t="s">
        <v>320</v>
      </c>
      <c r="H34" s="37" t="s">
        <v>229</v>
      </c>
      <c r="I34" s="4" t="s">
        <v>264</v>
      </c>
      <c r="J34" t="s">
        <v>105</v>
      </c>
      <c r="K34" t="s">
        <v>303</v>
      </c>
      <c r="L34" t="s">
        <v>248</v>
      </c>
    </row>
    <row r="35" spans="1:12" ht="45" x14ac:dyDescent="0.25">
      <c r="A35" t="s">
        <v>172</v>
      </c>
      <c r="B35" s="14" t="s">
        <v>5</v>
      </c>
      <c r="C35" s="1" t="s">
        <v>95</v>
      </c>
      <c r="D35" s="4" t="s">
        <v>133</v>
      </c>
      <c r="E35" s="4" t="s">
        <v>113</v>
      </c>
      <c r="F35" s="1" t="s">
        <v>64</v>
      </c>
      <c r="G35" s="21" t="s">
        <v>320</v>
      </c>
      <c r="H35" s="37" t="s">
        <v>229</v>
      </c>
      <c r="I35" s="4" t="s">
        <v>244</v>
      </c>
      <c r="J35" t="s">
        <v>105</v>
      </c>
      <c r="K35" t="s">
        <v>303</v>
      </c>
      <c r="L35" t="s">
        <v>248</v>
      </c>
    </row>
    <row r="36" spans="1:12" ht="30" x14ac:dyDescent="0.25">
      <c r="A36" t="s">
        <v>164</v>
      </c>
      <c r="B36" s="15" t="s">
        <v>6</v>
      </c>
      <c r="C36" s="1" t="s">
        <v>96</v>
      </c>
      <c r="D36" s="4" t="s">
        <v>134</v>
      </c>
      <c r="E36" s="4" t="s">
        <v>106</v>
      </c>
      <c r="F36" s="3" t="s">
        <v>48</v>
      </c>
      <c r="G36" s="18" t="s">
        <v>337</v>
      </c>
      <c r="H36" s="4" t="s">
        <v>316</v>
      </c>
      <c r="I36" s="4" t="s">
        <v>313</v>
      </c>
      <c r="J36" t="s">
        <v>105</v>
      </c>
      <c r="K36" t="s">
        <v>287</v>
      </c>
      <c r="L36" t="s">
        <v>250</v>
      </c>
    </row>
    <row r="37" spans="1:12" ht="90" x14ac:dyDescent="0.25">
      <c r="A37" t="s">
        <v>165</v>
      </c>
      <c r="B37" s="15" t="s">
        <v>6</v>
      </c>
      <c r="C37" s="1" t="s">
        <v>83</v>
      </c>
      <c r="D37" s="4" t="s">
        <v>99</v>
      </c>
      <c r="E37" s="4" t="s">
        <v>341</v>
      </c>
      <c r="F37" s="16" t="s">
        <v>11</v>
      </c>
      <c r="G37" s="21" t="s">
        <v>338</v>
      </c>
      <c r="H37" s="4" t="s">
        <v>271</v>
      </c>
      <c r="I37" s="4" t="s">
        <v>268</v>
      </c>
      <c r="J37" t="s">
        <v>105</v>
      </c>
      <c r="K37" t="s">
        <v>287</v>
      </c>
      <c r="L37" t="s">
        <v>249</v>
      </c>
    </row>
    <row r="38" spans="1:12" ht="60" x14ac:dyDescent="0.25">
      <c r="A38" t="s">
        <v>173</v>
      </c>
      <c r="B38" s="15" t="s">
        <v>6</v>
      </c>
      <c r="C38" s="1" t="s">
        <v>83</v>
      </c>
      <c r="D38" s="4" t="s">
        <v>100</v>
      </c>
      <c r="E38" s="4" t="s">
        <v>68</v>
      </c>
      <c r="F38" s="1" t="s">
        <v>200</v>
      </c>
      <c r="G38" s="20" t="s">
        <v>330</v>
      </c>
      <c r="H38" s="4" t="s">
        <v>272</v>
      </c>
      <c r="I38" s="4" t="s">
        <v>269</v>
      </c>
      <c r="J38" t="s">
        <v>105</v>
      </c>
      <c r="K38" t="s">
        <v>287</v>
      </c>
      <c r="L38" t="s">
        <v>249</v>
      </c>
    </row>
    <row r="39" spans="1:12" ht="75" x14ac:dyDescent="0.25">
      <c r="A39" t="s">
        <v>166</v>
      </c>
      <c r="B39" s="15" t="s">
        <v>6</v>
      </c>
      <c r="C39" s="1" t="s">
        <v>83</v>
      </c>
      <c r="D39" s="4" t="s">
        <v>135</v>
      </c>
      <c r="E39" s="4" t="s">
        <v>62</v>
      </c>
      <c r="F39" s="1" t="s">
        <v>199</v>
      </c>
      <c r="G39" s="18" t="s">
        <v>281</v>
      </c>
      <c r="H39" s="37" t="s">
        <v>228</v>
      </c>
      <c r="I39" s="4" t="s">
        <v>262</v>
      </c>
      <c r="J39" t="s">
        <v>105</v>
      </c>
      <c r="K39" t="s">
        <v>287</v>
      </c>
      <c r="L39" t="s">
        <v>249</v>
      </c>
    </row>
    <row r="40" spans="1:12" ht="45" x14ac:dyDescent="0.25">
      <c r="A40" t="s">
        <v>174</v>
      </c>
      <c r="B40" s="15" t="s">
        <v>6</v>
      </c>
      <c r="C40" s="1" t="s">
        <v>83</v>
      </c>
      <c r="D40" s="3" t="s">
        <v>98</v>
      </c>
      <c r="E40" s="8" t="s">
        <v>203</v>
      </c>
      <c r="F40" s="3" t="s">
        <v>282</v>
      </c>
      <c r="G40" s="20" t="s">
        <v>330</v>
      </c>
      <c r="H40" s="37" t="s">
        <v>229</v>
      </c>
      <c r="I40" s="4" t="s">
        <v>270</v>
      </c>
      <c r="J40" t="s">
        <v>105</v>
      </c>
      <c r="K40" t="s">
        <v>303</v>
      </c>
      <c r="L40" t="s">
        <v>249</v>
      </c>
    </row>
  </sheetData>
  <autoFilter ref="K1:K40" xr:uid="{990F7F42-49B6-4F56-90C2-1C86AAAAE40F}"/>
  <conditionalFormatting sqref="J2:K40">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0"/>
  <sheetViews>
    <sheetView workbookViewId="0">
      <selection activeCell="L26" sqref="L26"/>
    </sheetView>
  </sheetViews>
  <sheetFormatPr defaultRowHeight="15" x14ac:dyDescent="0.25"/>
  <sheetData>
    <row r="1" spans="1:3" x14ac:dyDescent="0.25">
      <c r="A1" s="9" t="s">
        <v>176</v>
      </c>
      <c r="B1" s="9" t="s">
        <v>192</v>
      </c>
      <c r="C1" s="9" t="s">
        <v>193</v>
      </c>
    </row>
    <row r="2" spans="1:3" x14ac:dyDescent="0.25">
      <c r="A2" s="12" t="s">
        <v>139</v>
      </c>
      <c r="B2" s="12" t="s">
        <v>0</v>
      </c>
      <c r="C2" s="12">
        <v>1</v>
      </c>
    </row>
    <row r="3" spans="1:3" x14ac:dyDescent="0.25">
      <c r="A3" s="12" t="s">
        <v>141</v>
      </c>
      <c r="B3" s="12" t="s">
        <v>0</v>
      </c>
      <c r="C3" s="12">
        <v>1</v>
      </c>
    </row>
    <row r="4" spans="1:3" x14ac:dyDescent="0.25">
      <c r="A4" s="12" t="s">
        <v>140</v>
      </c>
      <c r="B4" s="12" t="s">
        <v>0</v>
      </c>
      <c r="C4" s="12">
        <v>1</v>
      </c>
    </row>
    <row r="5" spans="1:3" x14ac:dyDescent="0.25">
      <c r="A5" s="12" t="s">
        <v>142</v>
      </c>
      <c r="B5" s="12" t="s">
        <v>0</v>
      </c>
      <c r="C5" s="12">
        <v>2</v>
      </c>
    </row>
    <row r="6" spans="1:3" x14ac:dyDescent="0.25">
      <c r="A6" s="12" t="s">
        <v>143</v>
      </c>
      <c r="B6" s="12" t="s">
        <v>0</v>
      </c>
      <c r="C6" s="12">
        <v>3</v>
      </c>
    </row>
    <row r="7" spans="1:3" x14ac:dyDescent="0.25">
      <c r="A7" s="12" t="s">
        <v>144</v>
      </c>
      <c r="B7" s="12" t="s">
        <v>0</v>
      </c>
      <c r="C7" s="12">
        <v>3</v>
      </c>
    </row>
    <row r="8" spans="1:3" x14ac:dyDescent="0.25">
      <c r="A8" s="12" t="s">
        <v>147</v>
      </c>
      <c r="B8" s="12" t="s">
        <v>0</v>
      </c>
      <c r="C8" s="12">
        <v>3</v>
      </c>
    </row>
    <row r="9" spans="1:3" x14ac:dyDescent="0.25">
      <c r="A9" s="12" t="s">
        <v>183</v>
      </c>
      <c r="B9" s="12" t="s">
        <v>0</v>
      </c>
      <c r="C9" s="12">
        <v>3</v>
      </c>
    </row>
    <row r="10" spans="1:3" x14ac:dyDescent="0.25">
      <c r="A10" s="12" t="s">
        <v>184</v>
      </c>
      <c r="B10" s="12" t="s">
        <v>0</v>
      </c>
      <c r="C10" s="12">
        <v>3</v>
      </c>
    </row>
    <row r="11" spans="1:3" x14ac:dyDescent="0.25">
      <c r="A11" s="12" t="s">
        <v>145</v>
      </c>
      <c r="B11" s="12" t="s">
        <v>0</v>
      </c>
      <c r="C11" s="12">
        <v>4</v>
      </c>
    </row>
    <row r="12" spans="1:3" x14ac:dyDescent="0.25">
      <c r="A12" s="12" t="s">
        <v>146</v>
      </c>
      <c r="B12" s="12" t="s">
        <v>0</v>
      </c>
      <c r="C12" s="12">
        <v>5</v>
      </c>
    </row>
    <row r="13" spans="1:3" x14ac:dyDescent="0.25">
      <c r="A13" s="13" t="s">
        <v>148</v>
      </c>
      <c r="B13" s="13" t="s">
        <v>3</v>
      </c>
      <c r="C13" s="13">
        <v>6</v>
      </c>
    </row>
    <row r="14" spans="1:3" x14ac:dyDescent="0.25">
      <c r="A14" s="13" t="s">
        <v>149</v>
      </c>
      <c r="B14" s="13" t="s">
        <v>3</v>
      </c>
      <c r="C14" s="13">
        <v>6</v>
      </c>
    </row>
    <row r="15" spans="1:3" x14ac:dyDescent="0.25">
      <c r="A15" s="13" t="s">
        <v>150</v>
      </c>
      <c r="B15" s="13" t="s">
        <v>3</v>
      </c>
      <c r="C15" s="13">
        <v>6</v>
      </c>
    </row>
    <row r="16" spans="1:3" x14ac:dyDescent="0.25">
      <c r="A16" s="13" t="s">
        <v>151</v>
      </c>
      <c r="B16" s="13" t="s">
        <v>3</v>
      </c>
      <c r="C16" s="13">
        <v>6</v>
      </c>
    </row>
    <row r="17" spans="1:3" x14ac:dyDescent="0.25">
      <c r="A17" s="13" t="s">
        <v>152</v>
      </c>
      <c r="B17" s="13" t="s">
        <v>3</v>
      </c>
      <c r="C17" s="13">
        <v>7</v>
      </c>
    </row>
    <row r="18" spans="1:3" x14ac:dyDescent="0.25">
      <c r="A18" s="13" t="s">
        <v>153</v>
      </c>
      <c r="B18" s="13" t="s">
        <v>3</v>
      </c>
      <c r="C18" s="13">
        <v>8</v>
      </c>
    </row>
    <row r="19" spans="1:3" x14ac:dyDescent="0.25">
      <c r="A19" s="13" t="s">
        <v>154</v>
      </c>
      <c r="B19" s="13" t="s">
        <v>3</v>
      </c>
      <c r="C19" s="13">
        <v>8</v>
      </c>
    </row>
    <row r="20" spans="1:3" x14ac:dyDescent="0.25">
      <c r="A20" s="13" t="s">
        <v>344</v>
      </c>
      <c r="B20" s="13" t="s">
        <v>3</v>
      </c>
      <c r="C20" s="13">
        <v>9</v>
      </c>
    </row>
    <row r="21" spans="1:3" x14ac:dyDescent="0.25">
      <c r="A21" s="31" t="s">
        <v>155</v>
      </c>
      <c r="B21" s="31" t="s">
        <v>4</v>
      </c>
      <c r="C21" s="31">
        <v>10</v>
      </c>
    </row>
    <row r="22" spans="1:3" x14ac:dyDescent="0.25">
      <c r="A22" s="31" t="s">
        <v>156</v>
      </c>
      <c r="B22" s="31" t="s">
        <v>4</v>
      </c>
      <c r="C22" s="31">
        <v>10</v>
      </c>
    </row>
    <row r="23" spans="1:3" x14ac:dyDescent="0.25">
      <c r="A23" s="31" t="s">
        <v>157</v>
      </c>
      <c r="B23" s="31" t="s">
        <v>4</v>
      </c>
      <c r="C23" s="31">
        <v>10</v>
      </c>
    </row>
    <row r="24" spans="1:3" x14ac:dyDescent="0.25">
      <c r="A24" s="31" t="s">
        <v>158</v>
      </c>
      <c r="B24" s="31" t="s">
        <v>4</v>
      </c>
      <c r="C24" s="31">
        <v>11</v>
      </c>
    </row>
    <row r="25" spans="1:3" x14ac:dyDescent="0.25">
      <c r="A25" s="31" t="s">
        <v>159</v>
      </c>
      <c r="B25" s="31" t="s">
        <v>4</v>
      </c>
      <c r="C25" s="31">
        <v>11</v>
      </c>
    </row>
    <row r="26" spans="1:3" x14ac:dyDescent="0.25">
      <c r="A26" s="14" t="s">
        <v>160</v>
      </c>
      <c r="B26" s="14" t="s">
        <v>5</v>
      </c>
      <c r="C26" s="14">
        <v>13</v>
      </c>
    </row>
    <row r="27" spans="1:3" x14ac:dyDescent="0.25">
      <c r="A27" s="14" t="s">
        <v>167</v>
      </c>
      <c r="B27" s="14" t="s">
        <v>5</v>
      </c>
      <c r="C27" s="14">
        <v>13</v>
      </c>
    </row>
    <row r="28" spans="1:3" x14ac:dyDescent="0.25">
      <c r="A28" s="14" t="s">
        <v>161</v>
      </c>
      <c r="B28" s="14" t="s">
        <v>5</v>
      </c>
      <c r="C28" s="14">
        <v>14</v>
      </c>
    </row>
    <row r="29" spans="1:3" x14ac:dyDescent="0.25">
      <c r="A29" s="14" t="s">
        <v>168</v>
      </c>
      <c r="B29" s="14" t="s">
        <v>5</v>
      </c>
      <c r="C29" s="14">
        <v>14</v>
      </c>
    </row>
    <row r="30" spans="1:3" x14ac:dyDescent="0.25">
      <c r="A30" s="14" t="s">
        <v>169</v>
      </c>
      <c r="B30" s="14" t="s">
        <v>5</v>
      </c>
      <c r="C30" s="14">
        <v>14</v>
      </c>
    </row>
    <row r="31" spans="1:3" x14ac:dyDescent="0.25">
      <c r="A31" s="14" t="s">
        <v>170</v>
      </c>
      <c r="B31" s="14" t="s">
        <v>5</v>
      </c>
      <c r="C31" s="14">
        <v>14</v>
      </c>
    </row>
    <row r="32" spans="1:3" x14ac:dyDescent="0.25">
      <c r="A32" s="14" t="s">
        <v>171</v>
      </c>
      <c r="B32" s="14" t="s">
        <v>5</v>
      </c>
      <c r="C32" s="14">
        <v>14</v>
      </c>
    </row>
    <row r="33" spans="1:3" x14ac:dyDescent="0.25">
      <c r="A33" s="14" t="s">
        <v>162</v>
      </c>
      <c r="B33" s="14" t="s">
        <v>5</v>
      </c>
      <c r="C33" s="14">
        <v>15</v>
      </c>
    </row>
    <row r="34" spans="1:3" x14ac:dyDescent="0.25">
      <c r="A34" s="14" t="s">
        <v>163</v>
      </c>
      <c r="B34" s="14" t="s">
        <v>5</v>
      </c>
      <c r="C34" s="14">
        <v>16</v>
      </c>
    </row>
    <row r="35" spans="1:3" x14ac:dyDescent="0.25">
      <c r="A35" s="14" t="s">
        <v>172</v>
      </c>
      <c r="B35" s="14" t="s">
        <v>5</v>
      </c>
      <c r="C35" s="14">
        <v>16</v>
      </c>
    </row>
    <row r="36" spans="1:3" x14ac:dyDescent="0.25">
      <c r="A36" s="15" t="s">
        <v>164</v>
      </c>
      <c r="B36" s="15" t="s">
        <v>6</v>
      </c>
      <c r="C36" s="15">
        <v>18</v>
      </c>
    </row>
    <row r="37" spans="1:3" x14ac:dyDescent="0.25">
      <c r="A37" s="15" t="s">
        <v>165</v>
      </c>
      <c r="B37" s="15" t="s">
        <v>6</v>
      </c>
      <c r="C37" s="15">
        <v>19</v>
      </c>
    </row>
    <row r="38" spans="1:3" x14ac:dyDescent="0.25">
      <c r="A38" s="15" t="s">
        <v>173</v>
      </c>
      <c r="B38" s="15" t="s">
        <v>6</v>
      </c>
      <c r="C38" s="15">
        <v>20</v>
      </c>
    </row>
    <row r="39" spans="1:3" x14ac:dyDescent="0.25">
      <c r="A39" s="15" t="s">
        <v>166</v>
      </c>
      <c r="B39" s="15" t="s">
        <v>6</v>
      </c>
      <c r="C39" s="15">
        <v>20</v>
      </c>
    </row>
    <row r="40" spans="1:3" x14ac:dyDescent="0.25">
      <c r="A40" s="15" t="s">
        <v>174</v>
      </c>
      <c r="B40" s="15" t="s">
        <v>6</v>
      </c>
      <c r="C40" s="15">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9" t="s">
        <v>69</v>
      </c>
      <c r="B1" s="9" t="s">
        <v>13</v>
      </c>
      <c r="C1" s="9" t="s">
        <v>107</v>
      </c>
    </row>
    <row r="2" spans="1:3" ht="30" x14ac:dyDescent="0.25">
      <c r="A2" s="12">
        <v>1</v>
      </c>
      <c r="B2" s="1" t="s">
        <v>14</v>
      </c>
      <c r="C2" s="1" t="s">
        <v>15</v>
      </c>
    </row>
    <row r="3" spans="1:3" ht="45" x14ac:dyDescent="0.25">
      <c r="A3" s="12">
        <v>2</v>
      </c>
      <c r="B3" s="1" t="s">
        <v>16</v>
      </c>
      <c r="C3" s="1" t="s">
        <v>17</v>
      </c>
    </row>
    <row r="4" spans="1:3" ht="45" x14ac:dyDescent="0.25">
      <c r="A4" s="12">
        <v>3</v>
      </c>
      <c r="B4" s="1" t="s">
        <v>18</v>
      </c>
      <c r="C4" s="1" t="s">
        <v>19</v>
      </c>
    </row>
    <row r="5" spans="1:3" ht="30" x14ac:dyDescent="0.25">
      <c r="A5" s="12">
        <v>4</v>
      </c>
      <c r="B5" s="1" t="s">
        <v>20</v>
      </c>
      <c r="C5" s="1" t="s">
        <v>21</v>
      </c>
    </row>
    <row r="6" spans="1:3" ht="30" x14ac:dyDescent="0.25">
      <c r="A6" s="12">
        <v>5</v>
      </c>
      <c r="B6" s="1" t="s">
        <v>22</v>
      </c>
      <c r="C6" s="1" t="s">
        <v>23</v>
      </c>
    </row>
    <row r="7" spans="1:3" ht="45" x14ac:dyDescent="0.25">
      <c r="A7" s="13">
        <v>6</v>
      </c>
      <c r="B7" s="3" t="s">
        <v>24</v>
      </c>
      <c r="C7" s="1" t="s">
        <v>25</v>
      </c>
    </row>
    <row r="8" spans="1:3" ht="30" x14ac:dyDescent="0.25">
      <c r="A8" s="13">
        <v>7</v>
      </c>
      <c r="B8" s="1" t="s">
        <v>26</v>
      </c>
      <c r="C8" s="1" t="s">
        <v>27</v>
      </c>
    </row>
    <row r="9" spans="1:3" ht="45" x14ac:dyDescent="0.25">
      <c r="A9" s="13">
        <v>8</v>
      </c>
      <c r="B9" s="1" t="s">
        <v>28</v>
      </c>
      <c r="C9" s="1" t="s">
        <v>138</v>
      </c>
    </row>
    <row r="10" spans="1:3" ht="30" x14ac:dyDescent="0.25">
      <c r="A10" s="13">
        <v>9</v>
      </c>
      <c r="B10" s="1" t="s">
        <v>29</v>
      </c>
      <c r="C10" s="1" t="s">
        <v>30</v>
      </c>
    </row>
    <row r="11" spans="1:3" ht="30" x14ac:dyDescent="0.25">
      <c r="A11" s="22">
        <v>10</v>
      </c>
      <c r="B11" s="1" t="s">
        <v>31</v>
      </c>
      <c r="C11" s="1" t="s">
        <v>32</v>
      </c>
    </row>
    <row r="12" spans="1:3" ht="45" x14ac:dyDescent="0.25">
      <c r="A12" s="22">
        <v>11</v>
      </c>
      <c r="B12" s="1" t="s">
        <v>33</v>
      </c>
      <c r="C12" s="1" t="s">
        <v>34</v>
      </c>
    </row>
    <row r="13" spans="1:3" ht="30" x14ac:dyDescent="0.25">
      <c r="A13" s="22">
        <v>12</v>
      </c>
      <c r="B13" s="1" t="s">
        <v>35</v>
      </c>
      <c r="C13" s="1" t="s">
        <v>30</v>
      </c>
    </row>
    <row r="14" spans="1:3" ht="30" x14ac:dyDescent="0.25">
      <c r="A14" s="14">
        <v>13</v>
      </c>
      <c r="B14" s="1" t="s">
        <v>36</v>
      </c>
      <c r="C14" s="1" t="s">
        <v>37</v>
      </c>
    </row>
    <row r="15" spans="1:3" ht="30" x14ac:dyDescent="0.25">
      <c r="A15" s="14">
        <v>14</v>
      </c>
      <c r="B15" s="1" t="s">
        <v>38</v>
      </c>
      <c r="C15" s="1" t="s">
        <v>39</v>
      </c>
    </row>
    <row r="16" spans="1:3" ht="30" x14ac:dyDescent="0.25">
      <c r="A16" s="14">
        <v>15</v>
      </c>
      <c r="B16" s="1" t="s">
        <v>40</v>
      </c>
      <c r="C16" s="1" t="s">
        <v>41</v>
      </c>
    </row>
    <row r="17" spans="1:3" ht="45" x14ac:dyDescent="0.25">
      <c r="A17" s="14">
        <v>16</v>
      </c>
      <c r="B17" s="1" t="s">
        <v>42</v>
      </c>
      <c r="C17" s="1" t="s">
        <v>43</v>
      </c>
    </row>
    <row r="18" spans="1:3" ht="45" x14ac:dyDescent="0.25">
      <c r="A18" s="15">
        <v>18</v>
      </c>
      <c r="B18" s="1" t="s">
        <v>44</v>
      </c>
      <c r="C18" s="1" t="s">
        <v>45</v>
      </c>
    </row>
    <row r="19" spans="1:3" ht="30" x14ac:dyDescent="0.25">
      <c r="A19" s="15">
        <v>19</v>
      </c>
      <c r="B19" s="1" t="s">
        <v>101</v>
      </c>
      <c r="C19" s="1" t="s">
        <v>102</v>
      </c>
    </row>
    <row r="20" spans="1:3" ht="30" x14ac:dyDescent="0.25">
      <c r="A20" s="15">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4"/>
  <sheetViews>
    <sheetView tabSelected="1" topLeftCell="A56" workbookViewId="0">
      <selection activeCell="F62" sqref="F62"/>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9" t="s">
        <v>176</v>
      </c>
      <c r="B1" t="s">
        <v>175</v>
      </c>
      <c r="C1" t="s">
        <v>177</v>
      </c>
      <c r="D1" t="s">
        <v>187</v>
      </c>
      <c r="E1" t="s">
        <v>188</v>
      </c>
      <c r="F1" t="s">
        <v>179</v>
      </c>
    </row>
    <row r="2" spans="1:6" x14ac:dyDescent="0.25">
      <c r="A2" s="12" t="s">
        <v>139</v>
      </c>
      <c r="B2" s="28">
        <v>40724</v>
      </c>
      <c r="C2" s="1">
        <v>5.04</v>
      </c>
      <c r="F2" s="1" t="s">
        <v>204</v>
      </c>
    </row>
    <row r="3" spans="1:6" x14ac:dyDescent="0.25">
      <c r="A3" s="12" t="s">
        <v>139</v>
      </c>
      <c r="B3" s="28">
        <v>41090</v>
      </c>
      <c r="C3" s="1">
        <v>4.8</v>
      </c>
      <c r="F3" s="1" t="s">
        <v>204</v>
      </c>
    </row>
    <row r="4" spans="1:6" x14ac:dyDescent="0.25">
      <c r="A4" s="12" t="s">
        <v>139</v>
      </c>
      <c r="B4" s="28">
        <v>41455</v>
      </c>
      <c r="C4" s="1">
        <v>4.72</v>
      </c>
      <c r="F4" s="1" t="s">
        <v>204</v>
      </c>
    </row>
    <row r="5" spans="1:6" x14ac:dyDescent="0.25">
      <c r="A5" s="12" t="s">
        <v>139</v>
      </c>
      <c r="B5" s="28">
        <v>41820</v>
      </c>
      <c r="C5" s="1">
        <v>4.79</v>
      </c>
      <c r="F5" s="1" t="s">
        <v>204</v>
      </c>
    </row>
    <row r="6" spans="1:6" x14ac:dyDescent="0.25">
      <c r="A6" s="12" t="s">
        <v>139</v>
      </c>
      <c r="B6" s="28">
        <v>42185</v>
      </c>
      <c r="C6" s="1">
        <v>4.84</v>
      </c>
      <c r="F6" s="1" t="s">
        <v>204</v>
      </c>
    </row>
    <row r="7" spans="1:6" x14ac:dyDescent="0.25">
      <c r="A7" s="12" t="s">
        <v>139</v>
      </c>
      <c r="B7" s="28">
        <v>42551</v>
      </c>
      <c r="C7" s="1">
        <v>4.95</v>
      </c>
      <c r="D7" s="1"/>
      <c r="E7" s="1"/>
      <c r="F7" s="1" t="s">
        <v>180</v>
      </c>
    </row>
    <row r="8" spans="1:6" x14ac:dyDescent="0.25">
      <c r="A8" s="12" t="s">
        <v>139</v>
      </c>
      <c r="B8" s="28">
        <v>42916</v>
      </c>
      <c r="C8" s="1">
        <v>5.14</v>
      </c>
      <c r="D8" s="1"/>
      <c r="E8" s="1"/>
      <c r="F8" s="1" t="s">
        <v>181</v>
      </c>
    </row>
    <row r="9" spans="1:6" x14ac:dyDescent="0.25">
      <c r="A9" s="12" t="s">
        <v>139</v>
      </c>
      <c r="B9" s="28">
        <v>51317</v>
      </c>
      <c r="C9" s="1">
        <v>4.1100000000000003</v>
      </c>
      <c r="D9" s="1"/>
      <c r="E9" s="1"/>
      <c r="F9" s="1" t="s">
        <v>182</v>
      </c>
    </row>
    <row r="10" spans="1:6" x14ac:dyDescent="0.25">
      <c r="A10" s="12" t="s">
        <v>141</v>
      </c>
      <c r="B10" s="29">
        <v>43281</v>
      </c>
      <c r="C10" s="19">
        <v>68.400000000000006</v>
      </c>
      <c r="D10" s="19">
        <v>65.538751133575303</v>
      </c>
      <c r="E10" s="19">
        <v>71.158794562405902</v>
      </c>
      <c r="F10" s="6" t="s">
        <v>180</v>
      </c>
    </row>
    <row r="11" spans="1:6" x14ac:dyDescent="0.25">
      <c r="A11" s="12" t="s">
        <v>141</v>
      </c>
      <c r="B11" s="29">
        <v>43646</v>
      </c>
      <c r="C11" s="19">
        <v>67.2</v>
      </c>
      <c r="D11" s="19">
        <v>64.083971006635693</v>
      </c>
      <c r="E11" s="19">
        <v>70.112622314085897</v>
      </c>
      <c r="F11" s="6" t="s">
        <v>181</v>
      </c>
    </row>
    <row r="12" spans="1:6" x14ac:dyDescent="0.25">
      <c r="A12" s="12" t="s">
        <v>141</v>
      </c>
      <c r="B12" s="28">
        <v>51317</v>
      </c>
      <c r="C12" s="19">
        <v>80</v>
      </c>
      <c r="D12" s="32"/>
      <c r="E12" s="32"/>
      <c r="F12" s="1" t="s">
        <v>182</v>
      </c>
    </row>
    <row r="13" spans="1:6" x14ac:dyDescent="0.25">
      <c r="A13" s="12" t="s">
        <v>140</v>
      </c>
      <c r="B13" s="29">
        <v>43281</v>
      </c>
      <c r="C13" s="33">
        <v>63</v>
      </c>
      <c r="D13" s="19">
        <v>60.304286081761603</v>
      </c>
      <c r="E13" s="19">
        <v>66.167510713120095</v>
      </c>
      <c r="F13" s="6" t="s">
        <v>180</v>
      </c>
    </row>
    <row r="14" spans="1:6" x14ac:dyDescent="0.25">
      <c r="A14" s="12" t="s">
        <v>140</v>
      </c>
      <c r="B14" s="29">
        <v>43646</v>
      </c>
      <c r="C14" s="33">
        <v>60.699999999999996</v>
      </c>
      <c r="D14" s="19">
        <v>57.5564462873403</v>
      </c>
      <c r="E14" s="19">
        <v>63.814694958317894</v>
      </c>
      <c r="F14" s="6" t="s">
        <v>181</v>
      </c>
    </row>
    <row r="15" spans="1:6" x14ac:dyDescent="0.25">
      <c r="A15" s="12" t="s">
        <v>140</v>
      </c>
      <c r="B15" s="28">
        <v>51317</v>
      </c>
      <c r="C15" s="33">
        <v>90</v>
      </c>
      <c r="D15" s="33"/>
      <c r="E15" s="33"/>
      <c r="F15" s="1" t="s">
        <v>182</v>
      </c>
    </row>
    <row r="16" spans="1:6" x14ac:dyDescent="0.25">
      <c r="A16" s="12" t="s">
        <v>142</v>
      </c>
      <c r="B16" s="29">
        <v>43646</v>
      </c>
      <c r="C16" s="33">
        <v>60.699999999999996</v>
      </c>
      <c r="F16" s="6" t="s">
        <v>180</v>
      </c>
    </row>
    <row r="17" spans="1:6" x14ac:dyDescent="0.25">
      <c r="A17" s="12" t="s">
        <v>142</v>
      </c>
      <c r="B17" s="28">
        <v>51317</v>
      </c>
      <c r="C17" s="33">
        <v>90</v>
      </c>
      <c r="F17" s="1" t="s">
        <v>182</v>
      </c>
    </row>
    <row r="18" spans="1:6" x14ac:dyDescent="0.25">
      <c r="A18" s="12" t="s">
        <v>143</v>
      </c>
      <c r="B18" s="29">
        <v>43281</v>
      </c>
      <c r="C18" s="33">
        <v>48.5</v>
      </c>
      <c r="D18" s="33">
        <v>45.395837796280397</v>
      </c>
      <c r="E18" s="33">
        <v>51.597672572044409</v>
      </c>
      <c r="F18" s="6" t="s">
        <v>180</v>
      </c>
    </row>
    <row r="19" spans="1:6" x14ac:dyDescent="0.25">
      <c r="A19" s="12" t="s">
        <v>143</v>
      </c>
      <c r="B19" s="29">
        <v>43646</v>
      </c>
      <c r="C19" s="33">
        <v>45.6</v>
      </c>
      <c r="D19" s="33">
        <v>42.354182641082602</v>
      </c>
      <c r="E19" s="33">
        <v>48.833706034554297</v>
      </c>
      <c r="F19" s="6" t="s">
        <v>181</v>
      </c>
    </row>
    <row r="20" spans="1:6" x14ac:dyDescent="0.25">
      <c r="A20" s="12" t="s">
        <v>143</v>
      </c>
      <c r="B20" s="28">
        <v>51317</v>
      </c>
      <c r="C20" s="33">
        <v>80</v>
      </c>
      <c r="D20" s="33"/>
      <c r="E20" s="33"/>
      <c r="F20" s="1" t="s">
        <v>182</v>
      </c>
    </row>
    <row r="21" spans="1:6" x14ac:dyDescent="0.25">
      <c r="A21" s="12" t="s">
        <v>144</v>
      </c>
      <c r="B21" s="30">
        <v>42916</v>
      </c>
      <c r="C21" s="33">
        <v>57.699999999999996</v>
      </c>
      <c r="D21" s="33">
        <v>51.5</v>
      </c>
      <c r="E21" s="33">
        <v>63.6</v>
      </c>
      <c r="F21" s="6" t="s">
        <v>180</v>
      </c>
    </row>
    <row r="22" spans="1:6" x14ac:dyDescent="0.25">
      <c r="A22" s="12" t="s">
        <v>144</v>
      </c>
      <c r="B22" s="28">
        <v>51317</v>
      </c>
      <c r="C22" s="33">
        <v>60</v>
      </c>
      <c r="D22" s="33"/>
      <c r="E22" s="33"/>
      <c r="F22" s="1" t="s">
        <v>182</v>
      </c>
    </row>
    <row r="23" spans="1:6" x14ac:dyDescent="0.25">
      <c r="A23" s="12" t="s">
        <v>147</v>
      </c>
      <c r="B23" s="30">
        <v>41090</v>
      </c>
      <c r="C23" s="33">
        <v>10.1</v>
      </c>
      <c r="D23" s="33">
        <v>6.9</v>
      </c>
      <c r="E23" s="33">
        <v>14.5</v>
      </c>
      <c r="F23" s="6" t="s">
        <v>204</v>
      </c>
    </row>
    <row r="24" spans="1:6" x14ac:dyDescent="0.25">
      <c r="A24" s="12" t="s">
        <v>147</v>
      </c>
      <c r="B24" s="30">
        <v>41820</v>
      </c>
      <c r="C24" s="33">
        <v>14.3</v>
      </c>
      <c r="D24" s="33">
        <v>9.4</v>
      </c>
      <c r="E24" s="33">
        <v>21.1</v>
      </c>
      <c r="F24" s="6" t="s">
        <v>204</v>
      </c>
    </row>
    <row r="25" spans="1:6" x14ac:dyDescent="0.25">
      <c r="A25" s="12" t="s">
        <v>147</v>
      </c>
      <c r="B25" s="30">
        <v>42916</v>
      </c>
      <c r="C25" s="33">
        <v>12.5</v>
      </c>
      <c r="D25" s="33">
        <v>9</v>
      </c>
      <c r="E25" s="33">
        <v>17</v>
      </c>
      <c r="F25" s="6" t="s">
        <v>180</v>
      </c>
    </row>
    <row r="26" spans="1:6" x14ac:dyDescent="0.25">
      <c r="A26" s="12" t="s">
        <v>147</v>
      </c>
      <c r="B26" s="28">
        <v>51317</v>
      </c>
      <c r="C26" s="33">
        <v>8.9</v>
      </c>
      <c r="D26" s="33"/>
      <c r="E26" s="33"/>
      <c r="F26" s="1" t="s">
        <v>182</v>
      </c>
    </row>
    <row r="27" spans="1:6" x14ac:dyDescent="0.25">
      <c r="A27" s="12" t="s">
        <v>183</v>
      </c>
      <c r="B27" s="29">
        <v>43281</v>
      </c>
      <c r="C27" s="33">
        <v>62.8</v>
      </c>
      <c r="D27" s="19">
        <v>59.877990759808299</v>
      </c>
      <c r="E27" s="19">
        <v>65.605150908988506</v>
      </c>
      <c r="F27" s="6" t="s">
        <v>180</v>
      </c>
    </row>
    <row r="28" spans="1:6" x14ac:dyDescent="0.25">
      <c r="A28" s="12" t="s">
        <v>183</v>
      </c>
      <c r="B28" s="29">
        <v>43646</v>
      </c>
      <c r="C28" s="33">
        <v>67</v>
      </c>
      <c r="D28" s="19">
        <v>64.039769861282096</v>
      </c>
      <c r="E28" s="19">
        <v>69.906919042560105</v>
      </c>
      <c r="F28" s="6" t="s">
        <v>181</v>
      </c>
    </row>
    <row r="29" spans="1:6" x14ac:dyDescent="0.25">
      <c r="A29" s="12" t="s">
        <v>183</v>
      </c>
      <c r="B29" s="28">
        <v>51317</v>
      </c>
      <c r="C29" s="33">
        <v>80</v>
      </c>
      <c r="D29" s="24"/>
      <c r="E29" s="24"/>
      <c r="F29" s="1" t="s">
        <v>182</v>
      </c>
    </row>
    <row r="30" spans="1:6" x14ac:dyDescent="0.25">
      <c r="A30" s="12" t="s">
        <v>184</v>
      </c>
      <c r="B30" s="29">
        <v>41090</v>
      </c>
      <c r="C30" s="33">
        <v>83.8</v>
      </c>
      <c r="D30" s="24"/>
      <c r="E30" s="24"/>
      <c r="F30" s="1" t="s">
        <v>204</v>
      </c>
    </row>
    <row r="31" spans="1:6" x14ac:dyDescent="0.25">
      <c r="A31" s="12" t="s">
        <v>184</v>
      </c>
      <c r="B31" s="29">
        <v>42185</v>
      </c>
      <c r="C31" s="33">
        <v>84.1</v>
      </c>
      <c r="D31" s="24"/>
      <c r="E31" s="24"/>
      <c r="F31" s="1" t="s">
        <v>204</v>
      </c>
    </row>
    <row r="32" spans="1:6" x14ac:dyDescent="0.25">
      <c r="A32" s="12" t="s">
        <v>184</v>
      </c>
      <c r="B32" s="29">
        <v>43281</v>
      </c>
      <c r="C32" s="33">
        <v>85.1</v>
      </c>
      <c r="D32" s="25"/>
      <c r="E32" s="25"/>
      <c r="F32" s="6" t="s">
        <v>180</v>
      </c>
    </row>
    <row r="33" spans="1:8" x14ac:dyDescent="0.25">
      <c r="A33" s="12" t="s">
        <v>184</v>
      </c>
      <c r="B33" s="28">
        <v>51317</v>
      </c>
      <c r="C33" s="27">
        <v>89.9</v>
      </c>
      <c r="D33" s="25"/>
      <c r="E33" s="25"/>
      <c r="F33" s="6" t="s">
        <v>182</v>
      </c>
      <c r="G33" s="38"/>
      <c r="H33" s="38"/>
    </row>
    <row r="34" spans="1:8" x14ac:dyDescent="0.25">
      <c r="A34" s="12" t="s">
        <v>145</v>
      </c>
      <c r="B34" s="29">
        <v>43281</v>
      </c>
      <c r="C34" s="27">
        <v>52</v>
      </c>
      <c r="D34" s="27">
        <v>50.302758398000002</v>
      </c>
      <c r="E34" s="27">
        <v>53.871574222</v>
      </c>
      <c r="F34" s="6" t="s">
        <v>180</v>
      </c>
    </row>
    <row r="35" spans="1:8" x14ac:dyDescent="0.25">
      <c r="A35" s="12" t="s">
        <v>145</v>
      </c>
      <c r="B35" s="29">
        <v>43646</v>
      </c>
      <c r="C35" s="27">
        <v>49</v>
      </c>
      <c r="D35" s="27">
        <v>46.735637591080902</v>
      </c>
      <c r="E35" s="27">
        <v>50.539152862397202</v>
      </c>
      <c r="F35" s="6" t="s">
        <v>181</v>
      </c>
    </row>
    <row r="36" spans="1:8" x14ac:dyDescent="0.25">
      <c r="A36" s="12" t="s">
        <v>145</v>
      </c>
      <c r="B36" s="28">
        <v>51317</v>
      </c>
      <c r="C36" s="27">
        <v>63</v>
      </c>
      <c r="D36" s="27"/>
      <c r="E36" s="27"/>
      <c r="F36" s="1" t="s">
        <v>182</v>
      </c>
    </row>
    <row r="37" spans="1:8" x14ac:dyDescent="0.25">
      <c r="A37" s="12" t="s">
        <v>146</v>
      </c>
      <c r="B37" s="28">
        <v>40764</v>
      </c>
      <c r="C37" s="33">
        <v>16.7</v>
      </c>
      <c r="D37" s="25"/>
      <c r="E37" s="25"/>
      <c r="F37" s="6" t="s">
        <v>204</v>
      </c>
    </row>
    <row r="38" spans="1:8" x14ac:dyDescent="0.25">
      <c r="A38" s="12" t="s">
        <v>146</v>
      </c>
      <c r="B38" s="28">
        <v>42591</v>
      </c>
      <c r="C38" s="33">
        <v>15.9</v>
      </c>
      <c r="D38" s="25"/>
      <c r="E38" s="25"/>
      <c r="F38" s="6" t="s">
        <v>180</v>
      </c>
    </row>
    <row r="39" spans="1:8" x14ac:dyDescent="0.25">
      <c r="A39" s="12" t="s">
        <v>146</v>
      </c>
      <c r="B39" s="28">
        <v>51317</v>
      </c>
      <c r="C39" s="33">
        <v>15.1</v>
      </c>
      <c r="D39" s="25"/>
      <c r="E39" s="25"/>
      <c r="F39" s="1" t="s">
        <v>182</v>
      </c>
    </row>
    <row r="40" spans="1:8" x14ac:dyDescent="0.25">
      <c r="A40" s="13" t="s">
        <v>148</v>
      </c>
      <c r="B40" s="29">
        <v>42551</v>
      </c>
      <c r="C40" s="33">
        <v>5.0999999999999996</v>
      </c>
      <c r="D40" s="25"/>
      <c r="E40" s="25"/>
      <c r="F40" s="1" t="s">
        <v>204</v>
      </c>
    </row>
    <row r="41" spans="1:8" x14ac:dyDescent="0.25">
      <c r="A41" s="13" t="s">
        <v>148</v>
      </c>
      <c r="B41" s="29">
        <v>42916</v>
      </c>
      <c r="C41" s="33">
        <v>5.2</v>
      </c>
      <c r="D41" s="25"/>
      <c r="E41" s="25"/>
      <c r="F41" s="1" t="s">
        <v>204</v>
      </c>
    </row>
    <row r="42" spans="1:8" x14ac:dyDescent="0.25">
      <c r="A42" s="13" t="s">
        <v>148</v>
      </c>
      <c r="B42" s="29">
        <v>43281</v>
      </c>
      <c r="C42" s="33">
        <v>4.8</v>
      </c>
      <c r="D42" s="25"/>
      <c r="E42" s="25"/>
      <c r="F42" s="6" t="s">
        <v>180</v>
      </c>
    </row>
    <row r="43" spans="1:8" x14ac:dyDescent="0.25">
      <c r="A43" s="13" t="s">
        <v>148</v>
      </c>
      <c r="B43" s="29">
        <v>43646</v>
      </c>
      <c r="C43" s="33">
        <v>4.7</v>
      </c>
      <c r="D43" s="25"/>
      <c r="E43" s="25"/>
      <c r="F43" s="6" t="s">
        <v>181</v>
      </c>
    </row>
    <row r="44" spans="1:8" x14ac:dyDescent="0.25">
      <c r="A44" s="13" t="s">
        <v>148</v>
      </c>
      <c r="B44" s="28">
        <v>51317</v>
      </c>
      <c r="C44" s="33">
        <v>2.1</v>
      </c>
      <c r="D44" s="25"/>
      <c r="E44" s="25"/>
      <c r="F44" s="1" t="s">
        <v>182</v>
      </c>
    </row>
    <row r="45" spans="1:8" x14ac:dyDescent="0.25">
      <c r="A45" s="13" t="s">
        <v>149</v>
      </c>
      <c r="B45" s="28">
        <v>40764</v>
      </c>
      <c r="C45" s="33">
        <v>15.3</v>
      </c>
      <c r="D45" s="25"/>
      <c r="E45" s="25"/>
      <c r="F45" s="6" t="s">
        <v>204</v>
      </c>
    </row>
    <row r="46" spans="1:8" x14ac:dyDescent="0.25">
      <c r="A46" s="13" t="s">
        <v>149</v>
      </c>
      <c r="B46" s="28">
        <v>42591</v>
      </c>
      <c r="C46" s="33">
        <v>17.8</v>
      </c>
      <c r="D46" s="25"/>
      <c r="E46" s="25"/>
      <c r="F46" s="6" t="s">
        <v>180</v>
      </c>
    </row>
    <row r="47" spans="1:8" x14ac:dyDescent="0.25">
      <c r="A47" s="13" t="s">
        <v>149</v>
      </c>
      <c r="B47" s="28">
        <v>51317</v>
      </c>
      <c r="C47" s="33">
        <v>21.5</v>
      </c>
      <c r="D47" s="25"/>
      <c r="E47" s="25"/>
      <c r="F47" s="1" t="s">
        <v>182</v>
      </c>
    </row>
    <row r="48" spans="1:8" x14ac:dyDescent="0.25">
      <c r="A48" s="13" t="s">
        <v>150</v>
      </c>
      <c r="B48" s="30">
        <v>42551</v>
      </c>
      <c r="C48" s="33">
        <v>91.8</v>
      </c>
      <c r="D48" s="25"/>
      <c r="E48" s="25"/>
      <c r="F48" s="1" t="s">
        <v>204</v>
      </c>
    </row>
    <row r="49" spans="1:7" x14ac:dyDescent="0.25">
      <c r="A49" s="13" t="s">
        <v>150</v>
      </c>
      <c r="B49" s="30">
        <v>42916</v>
      </c>
      <c r="C49" s="33">
        <v>91.600000000000009</v>
      </c>
      <c r="D49" s="25"/>
      <c r="E49" s="25"/>
      <c r="F49" s="6" t="s">
        <v>180</v>
      </c>
    </row>
    <row r="50" spans="1:7" x14ac:dyDescent="0.25">
      <c r="A50" s="13" t="s">
        <v>150</v>
      </c>
      <c r="B50" s="30">
        <v>43281</v>
      </c>
      <c r="C50" s="33">
        <v>95.6</v>
      </c>
      <c r="D50" s="25"/>
      <c r="E50" s="25"/>
      <c r="F50" s="6" t="s">
        <v>181</v>
      </c>
    </row>
    <row r="51" spans="1:7" x14ac:dyDescent="0.25">
      <c r="A51" s="13" t="s">
        <v>150</v>
      </c>
      <c r="B51" s="28">
        <v>51317</v>
      </c>
      <c r="C51" s="33">
        <v>96.2</v>
      </c>
      <c r="D51" s="25"/>
      <c r="E51" s="25"/>
      <c r="F51" s="1" t="s">
        <v>182</v>
      </c>
    </row>
    <row r="52" spans="1:7" x14ac:dyDescent="0.25">
      <c r="A52" s="13" t="s">
        <v>151</v>
      </c>
      <c r="B52" s="29">
        <v>41820</v>
      </c>
      <c r="C52" s="39">
        <v>6.5</v>
      </c>
      <c r="D52" s="25"/>
      <c r="E52" s="25"/>
      <c r="F52" s="6" t="s">
        <v>204</v>
      </c>
      <c r="G52" s="39"/>
    </row>
    <row r="53" spans="1:7" x14ac:dyDescent="0.25">
      <c r="A53" s="13" t="s">
        <v>151</v>
      </c>
      <c r="B53" s="29">
        <v>42185</v>
      </c>
      <c r="C53" s="39">
        <v>6.48</v>
      </c>
      <c r="D53" s="25"/>
      <c r="E53" s="25"/>
      <c r="F53" s="6" t="s">
        <v>204</v>
      </c>
      <c r="G53" s="39"/>
    </row>
    <row r="54" spans="1:7" x14ac:dyDescent="0.25">
      <c r="A54" s="13" t="s">
        <v>151</v>
      </c>
      <c r="B54" s="29">
        <v>42551</v>
      </c>
      <c r="C54" s="39">
        <v>6.45</v>
      </c>
      <c r="D54" s="25"/>
      <c r="E54" s="25"/>
      <c r="F54" s="6" t="s">
        <v>204</v>
      </c>
      <c r="G54" s="39"/>
    </row>
    <row r="55" spans="1:7" x14ac:dyDescent="0.25">
      <c r="A55" s="13" t="s">
        <v>151</v>
      </c>
      <c r="B55" s="29">
        <v>42916</v>
      </c>
      <c r="C55" s="39">
        <v>6.5</v>
      </c>
      <c r="D55" s="25"/>
      <c r="E55" s="25"/>
      <c r="F55" s="6" t="s">
        <v>204</v>
      </c>
      <c r="G55" s="39"/>
    </row>
    <row r="56" spans="1:7" x14ac:dyDescent="0.25">
      <c r="A56" s="13" t="s">
        <v>151</v>
      </c>
      <c r="B56" s="29">
        <v>43281</v>
      </c>
      <c r="C56" s="39">
        <v>6.1</v>
      </c>
      <c r="D56" s="25"/>
      <c r="E56" s="25"/>
      <c r="F56" s="6" t="s">
        <v>180</v>
      </c>
      <c r="G56" s="39"/>
    </row>
    <row r="57" spans="1:7" x14ac:dyDescent="0.25">
      <c r="A57" s="13" t="s">
        <v>151</v>
      </c>
      <c r="B57" s="29">
        <v>43646</v>
      </c>
      <c r="C57" s="39">
        <v>6.19</v>
      </c>
      <c r="D57" s="25"/>
      <c r="E57" s="25"/>
      <c r="F57" s="6" t="s">
        <v>181</v>
      </c>
      <c r="G57" s="39"/>
    </row>
    <row r="58" spans="1:7" x14ac:dyDescent="0.25">
      <c r="A58" s="13" t="s">
        <v>151</v>
      </c>
      <c r="B58" s="28">
        <v>51317</v>
      </c>
      <c r="C58" s="39">
        <v>6.4</v>
      </c>
      <c r="D58" s="24"/>
      <c r="E58" s="24"/>
      <c r="F58" s="1" t="s">
        <v>182</v>
      </c>
      <c r="G58" s="39"/>
    </row>
    <row r="59" spans="1:7" x14ac:dyDescent="0.25">
      <c r="A59" s="13" t="s">
        <v>152</v>
      </c>
      <c r="B59" s="28">
        <v>40764</v>
      </c>
      <c r="C59" s="33">
        <v>33.799999999999997</v>
      </c>
      <c r="D59" s="24"/>
      <c r="E59" s="24"/>
      <c r="F59" s="1" t="s">
        <v>204</v>
      </c>
    </row>
    <row r="60" spans="1:7" x14ac:dyDescent="0.25">
      <c r="A60" s="13" t="s">
        <v>152</v>
      </c>
      <c r="B60" s="28">
        <v>42591</v>
      </c>
      <c r="C60" s="33">
        <v>33</v>
      </c>
      <c r="D60" s="24"/>
      <c r="E60" s="24"/>
      <c r="F60" s="6" t="s">
        <v>180</v>
      </c>
    </row>
    <row r="61" spans="1:7" x14ac:dyDescent="0.25">
      <c r="A61" s="13" t="s">
        <v>152</v>
      </c>
      <c r="B61" s="28">
        <v>51317</v>
      </c>
      <c r="C61" s="33">
        <v>48.199999999999996</v>
      </c>
      <c r="D61" s="24"/>
      <c r="E61" s="24"/>
      <c r="F61" s="1" t="s">
        <v>182</v>
      </c>
    </row>
    <row r="62" spans="1:7" x14ac:dyDescent="0.25">
      <c r="A62" s="13" t="s">
        <v>153</v>
      </c>
      <c r="B62" s="29">
        <v>42916</v>
      </c>
      <c r="C62" s="33">
        <v>39.1</v>
      </c>
      <c r="D62" s="24"/>
      <c r="E62" s="24"/>
      <c r="F62" s="6" t="s">
        <v>204</v>
      </c>
    </row>
    <row r="63" spans="1:7" x14ac:dyDescent="0.25">
      <c r="A63" s="13" t="s">
        <v>153</v>
      </c>
      <c r="B63" s="29">
        <v>43281</v>
      </c>
      <c r="C63" s="33">
        <v>59.8</v>
      </c>
      <c r="D63" s="24"/>
      <c r="E63" s="24"/>
      <c r="F63" s="6" t="s">
        <v>180</v>
      </c>
    </row>
    <row r="64" spans="1:7" x14ac:dyDescent="0.25">
      <c r="A64" s="13" t="s">
        <v>153</v>
      </c>
      <c r="B64" s="29">
        <v>43646</v>
      </c>
      <c r="C64" s="27">
        <v>47.7</v>
      </c>
      <c r="D64" s="27"/>
      <c r="E64" s="27"/>
      <c r="F64" s="6" t="s">
        <v>181</v>
      </c>
    </row>
    <row r="65" spans="1:6" x14ac:dyDescent="0.25">
      <c r="A65" s="13" t="s">
        <v>153</v>
      </c>
      <c r="B65" s="28">
        <v>51317</v>
      </c>
      <c r="C65" s="27">
        <f>C63*1.05</f>
        <v>62.79</v>
      </c>
      <c r="D65" s="27"/>
      <c r="E65" s="27"/>
      <c r="F65" s="1" t="s">
        <v>182</v>
      </c>
    </row>
    <row r="66" spans="1:6" x14ac:dyDescent="0.25">
      <c r="A66" s="13" t="s">
        <v>154</v>
      </c>
      <c r="B66" s="29">
        <v>43281</v>
      </c>
      <c r="C66" s="27">
        <v>71</v>
      </c>
      <c r="D66" s="27">
        <v>69.282534772719998</v>
      </c>
      <c r="E66" s="27">
        <v>71.891836587279997</v>
      </c>
      <c r="F66" s="6" t="s">
        <v>180</v>
      </c>
    </row>
    <row r="67" spans="1:6" x14ac:dyDescent="0.25">
      <c r="A67" s="13" t="s">
        <v>154</v>
      </c>
      <c r="B67" s="29">
        <v>43646</v>
      </c>
      <c r="C67" s="27">
        <v>71</v>
      </c>
      <c r="D67" s="27">
        <v>69.310210964059195</v>
      </c>
      <c r="E67" s="27">
        <v>71.990952281489598</v>
      </c>
      <c r="F67" s="6" t="s">
        <v>181</v>
      </c>
    </row>
    <row r="68" spans="1:6" x14ac:dyDescent="0.25">
      <c r="A68" s="13" t="s">
        <v>154</v>
      </c>
      <c r="B68" s="28">
        <v>51317</v>
      </c>
      <c r="C68" s="27">
        <v>79</v>
      </c>
      <c r="D68" s="27"/>
      <c r="E68" s="27"/>
      <c r="F68" s="1" t="s">
        <v>182</v>
      </c>
    </row>
    <row r="69" spans="1:6" x14ac:dyDescent="0.25">
      <c r="A69" s="13" t="s">
        <v>344</v>
      </c>
      <c r="B69" s="29">
        <v>43646</v>
      </c>
      <c r="C69" s="27">
        <v>20</v>
      </c>
      <c r="D69" s="27"/>
      <c r="E69" s="27"/>
      <c r="F69" s="6" t="s">
        <v>180</v>
      </c>
    </row>
    <row r="70" spans="1:6" x14ac:dyDescent="0.25">
      <c r="A70" s="13" t="s">
        <v>344</v>
      </c>
      <c r="B70" s="28">
        <v>51317</v>
      </c>
      <c r="C70" s="27">
        <v>100</v>
      </c>
      <c r="D70" s="27"/>
      <c r="E70" s="27"/>
      <c r="F70" s="1" t="s">
        <v>182</v>
      </c>
    </row>
    <row r="71" spans="1:6" x14ac:dyDescent="0.25">
      <c r="A71" s="22" t="s">
        <v>155</v>
      </c>
      <c r="B71" s="29">
        <v>43444</v>
      </c>
      <c r="C71" s="33">
        <v>68.400000000000006</v>
      </c>
      <c r="D71" s="25"/>
      <c r="E71" s="25"/>
      <c r="F71" s="6" t="s">
        <v>180</v>
      </c>
    </row>
    <row r="72" spans="1:6" x14ac:dyDescent="0.25">
      <c r="A72" s="36" t="s">
        <v>155</v>
      </c>
      <c r="B72" s="29">
        <v>43780</v>
      </c>
      <c r="C72" s="33">
        <v>68.099999999999994</v>
      </c>
      <c r="D72" s="25"/>
      <c r="E72" s="25"/>
      <c r="F72" s="6" t="s">
        <v>181</v>
      </c>
    </row>
    <row r="73" spans="1:6" x14ac:dyDescent="0.25">
      <c r="A73" s="22" t="s">
        <v>155</v>
      </c>
      <c r="B73" s="28">
        <v>51317</v>
      </c>
      <c r="C73" s="33">
        <v>90</v>
      </c>
      <c r="D73" s="25"/>
      <c r="E73" s="25"/>
      <c r="F73" s="1" t="s">
        <v>182</v>
      </c>
    </row>
    <row r="74" spans="1:6" x14ac:dyDescent="0.25">
      <c r="A74" s="34" t="s">
        <v>156</v>
      </c>
      <c r="B74" s="28">
        <v>40764</v>
      </c>
      <c r="C74" s="33">
        <v>21.6</v>
      </c>
      <c r="D74" s="25"/>
      <c r="E74" s="25"/>
      <c r="F74" s="6" t="s">
        <v>204</v>
      </c>
    </row>
    <row r="75" spans="1:6" x14ac:dyDescent="0.25">
      <c r="A75" s="22" t="s">
        <v>156</v>
      </c>
      <c r="B75" s="28">
        <v>42591</v>
      </c>
      <c r="C75" s="33">
        <v>23.6</v>
      </c>
      <c r="D75" s="25"/>
      <c r="E75" s="25"/>
      <c r="F75" s="6" t="s">
        <v>180</v>
      </c>
    </row>
    <row r="76" spans="1:6" x14ac:dyDescent="0.25">
      <c r="A76" s="22" t="s">
        <v>156</v>
      </c>
      <c r="B76" s="28">
        <v>51317</v>
      </c>
      <c r="C76" s="33">
        <v>50.1</v>
      </c>
      <c r="D76" s="25"/>
      <c r="E76" s="25"/>
      <c r="F76" s="1" t="s">
        <v>182</v>
      </c>
    </row>
    <row r="77" spans="1:6" x14ac:dyDescent="0.25">
      <c r="A77" s="35" t="s">
        <v>157</v>
      </c>
      <c r="B77" s="28">
        <v>40764</v>
      </c>
      <c r="C77" s="33">
        <v>10.4</v>
      </c>
      <c r="D77" s="25"/>
      <c r="E77" s="25"/>
      <c r="F77" s="1" t="s">
        <v>204</v>
      </c>
    </row>
    <row r="78" spans="1:6" x14ac:dyDescent="0.25">
      <c r="A78" s="22" t="s">
        <v>157</v>
      </c>
      <c r="B78" s="28">
        <v>42591</v>
      </c>
      <c r="C78" s="33">
        <v>11</v>
      </c>
      <c r="D78" s="25"/>
      <c r="E78" s="25"/>
      <c r="F78" s="6" t="s">
        <v>180</v>
      </c>
    </row>
    <row r="79" spans="1:6" x14ac:dyDescent="0.25">
      <c r="A79" s="22" t="s">
        <v>157</v>
      </c>
      <c r="B79" s="28">
        <v>51317</v>
      </c>
      <c r="C79" s="33">
        <v>11.600000000000001</v>
      </c>
      <c r="D79" s="25"/>
      <c r="E79" s="25"/>
      <c r="F79" s="1" t="s">
        <v>182</v>
      </c>
    </row>
    <row r="80" spans="1:6" x14ac:dyDescent="0.25">
      <c r="A80" s="36" t="s">
        <v>158</v>
      </c>
      <c r="B80" s="28">
        <v>42004</v>
      </c>
      <c r="C80" s="33">
        <v>68</v>
      </c>
      <c r="D80" s="25"/>
      <c r="E80" s="25"/>
      <c r="F80" s="1" t="s">
        <v>204</v>
      </c>
    </row>
    <row r="81" spans="1:6" x14ac:dyDescent="0.25">
      <c r="A81" s="36" t="s">
        <v>158</v>
      </c>
      <c r="B81" s="28">
        <v>42369</v>
      </c>
      <c r="C81" s="33">
        <v>50</v>
      </c>
      <c r="D81" s="25"/>
      <c r="E81" s="25"/>
      <c r="F81" s="1" t="s">
        <v>204</v>
      </c>
    </row>
    <row r="82" spans="1:6" x14ac:dyDescent="0.25">
      <c r="A82" s="36" t="s">
        <v>158</v>
      </c>
      <c r="B82" s="28">
        <v>42735</v>
      </c>
      <c r="C82" s="33">
        <v>52</v>
      </c>
      <c r="D82" s="25"/>
      <c r="E82" s="25"/>
      <c r="F82" s="1" t="s">
        <v>204</v>
      </c>
    </row>
    <row r="83" spans="1:6" x14ac:dyDescent="0.25">
      <c r="A83" s="36" t="s">
        <v>158</v>
      </c>
      <c r="B83" s="28">
        <v>43100</v>
      </c>
      <c r="C83" s="33">
        <v>22</v>
      </c>
      <c r="D83" s="25"/>
      <c r="E83" s="25"/>
      <c r="F83" s="1" t="s">
        <v>204</v>
      </c>
    </row>
    <row r="84" spans="1:6" x14ac:dyDescent="0.25">
      <c r="A84" s="22" t="s">
        <v>158</v>
      </c>
      <c r="B84" s="28">
        <v>43465</v>
      </c>
      <c r="C84" s="27">
        <v>23</v>
      </c>
      <c r="D84" s="27"/>
      <c r="E84" s="27"/>
      <c r="F84" s="6" t="s">
        <v>180</v>
      </c>
    </row>
    <row r="85" spans="1:6" x14ac:dyDescent="0.25">
      <c r="A85" s="22" t="s">
        <v>158</v>
      </c>
      <c r="B85" s="28">
        <v>51501</v>
      </c>
      <c r="C85" s="27">
        <v>0</v>
      </c>
      <c r="D85" s="27"/>
      <c r="E85" s="27"/>
      <c r="F85" s="1" t="s">
        <v>182</v>
      </c>
    </row>
    <row r="86" spans="1:6" x14ac:dyDescent="0.25">
      <c r="A86" s="22" t="s">
        <v>159</v>
      </c>
      <c r="B86" s="29">
        <v>43281</v>
      </c>
      <c r="C86" s="33">
        <v>19.399999999999999</v>
      </c>
      <c r="D86" s="25"/>
      <c r="E86" s="25"/>
      <c r="F86" s="6" t="s">
        <v>180</v>
      </c>
    </row>
    <row r="87" spans="1:6" x14ac:dyDescent="0.25">
      <c r="A87" s="22" t="s">
        <v>159</v>
      </c>
      <c r="B87" s="28">
        <v>51317</v>
      </c>
      <c r="C87" s="33">
        <v>100</v>
      </c>
      <c r="D87" s="25"/>
      <c r="E87" s="25"/>
      <c r="F87" s="1" t="s">
        <v>182</v>
      </c>
    </row>
    <row r="88" spans="1:6" x14ac:dyDescent="0.25">
      <c r="A88" s="14" t="s">
        <v>160</v>
      </c>
      <c r="B88" s="29">
        <v>43281</v>
      </c>
      <c r="C88" s="27">
        <v>2773</v>
      </c>
      <c r="D88" s="27"/>
      <c r="E88" s="27"/>
      <c r="F88" s="6" t="s">
        <v>180</v>
      </c>
    </row>
    <row r="89" spans="1:6" x14ac:dyDescent="0.25">
      <c r="A89" s="14" t="s">
        <v>160</v>
      </c>
      <c r="B89" s="29">
        <v>43646</v>
      </c>
      <c r="C89" s="27">
        <v>1746</v>
      </c>
      <c r="D89" s="27"/>
      <c r="E89" s="27"/>
      <c r="F89" s="6" t="s">
        <v>181</v>
      </c>
    </row>
    <row r="90" spans="1:6" x14ac:dyDescent="0.25">
      <c r="A90" s="14" t="s">
        <v>160</v>
      </c>
      <c r="B90" s="28">
        <v>51317</v>
      </c>
      <c r="C90" s="27">
        <v>139</v>
      </c>
      <c r="D90" s="27"/>
      <c r="E90" s="27"/>
      <c r="F90" s="1" t="s">
        <v>182</v>
      </c>
    </row>
    <row r="91" spans="1:6" x14ac:dyDescent="0.25">
      <c r="A91" s="14" t="s">
        <v>167</v>
      </c>
      <c r="B91" s="29">
        <v>43281</v>
      </c>
      <c r="C91" s="27">
        <v>1300000</v>
      </c>
      <c r="D91" s="27"/>
      <c r="E91" s="27"/>
      <c r="F91" s="6" t="s">
        <v>180</v>
      </c>
    </row>
    <row r="92" spans="1:6" x14ac:dyDescent="0.25">
      <c r="A92" s="14" t="s">
        <v>167</v>
      </c>
      <c r="B92" s="28">
        <v>51317</v>
      </c>
      <c r="C92" s="27">
        <v>0</v>
      </c>
      <c r="D92" s="27"/>
      <c r="E92" s="27"/>
      <c r="F92" s="1" t="s">
        <v>182</v>
      </c>
    </row>
    <row r="93" spans="1:6" x14ac:dyDescent="0.25">
      <c r="A93" s="14" t="s">
        <v>161</v>
      </c>
      <c r="B93" s="29">
        <v>43281</v>
      </c>
      <c r="C93" s="27">
        <v>49917</v>
      </c>
      <c r="D93" s="27"/>
      <c r="E93" s="27"/>
      <c r="F93" s="6" t="s">
        <v>180</v>
      </c>
    </row>
    <row r="94" spans="1:6" x14ac:dyDescent="0.25">
      <c r="A94" s="14" t="s">
        <v>161</v>
      </c>
      <c r="B94" s="29">
        <v>43646</v>
      </c>
      <c r="C94" s="27">
        <v>51573</v>
      </c>
      <c r="D94" s="27"/>
      <c r="E94" s="27"/>
      <c r="F94" s="6" t="s">
        <v>181</v>
      </c>
    </row>
    <row r="95" spans="1:6" x14ac:dyDescent="0.25">
      <c r="A95" s="14" t="s">
        <v>161</v>
      </c>
      <c r="B95" s="28">
        <v>51317</v>
      </c>
      <c r="C95" s="27">
        <v>64892</v>
      </c>
      <c r="D95" s="27"/>
      <c r="E95" s="27"/>
      <c r="F95" s="1" t="s">
        <v>182</v>
      </c>
    </row>
    <row r="96" spans="1:6" x14ac:dyDescent="0.25">
      <c r="A96" s="14" t="s">
        <v>168</v>
      </c>
      <c r="B96" s="29">
        <v>42185</v>
      </c>
      <c r="C96" s="27">
        <v>127</v>
      </c>
      <c r="D96" s="27"/>
      <c r="E96" s="27"/>
      <c r="F96" s="6" t="s">
        <v>180</v>
      </c>
    </row>
    <row r="97" spans="1:6" x14ac:dyDescent="0.25">
      <c r="A97" s="14" t="s">
        <v>168</v>
      </c>
      <c r="B97" s="28">
        <v>51317</v>
      </c>
      <c r="C97" s="27">
        <v>57</v>
      </c>
      <c r="D97" s="27"/>
      <c r="E97" s="27"/>
      <c r="F97" s="1" t="s">
        <v>182</v>
      </c>
    </row>
    <row r="98" spans="1:6" x14ac:dyDescent="0.25">
      <c r="A98" s="14" t="s">
        <v>169</v>
      </c>
      <c r="B98" s="29">
        <v>42185</v>
      </c>
      <c r="C98" s="27">
        <v>12000</v>
      </c>
      <c r="D98" s="27"/>
      <c r="E98" s="27"/>
      <c r="F98" s="6" t="s">
        <v>180</v>
      </c>
    </row>
    <row r="99" spans="1:6" x14ac:dyDescent="0.25">
      <c r="A99" s="14" t="s">
        <v>169</v>
      </c>
      <c r="B99" s="28">
        <v>51317</v>
      </c>
      <c r="C99" s="27">
        <v>6700</v>
      </c>
      <c r="D99" s="27"/>
      <c r="E99" s="27"/>
      <c r="F99" s="1" t="s">
        <v>182</v>
      </c>
    </row>
    <row r="100" spans="1:6" x14ac:dyDescent="0.25">
      <c r="A100" s="14" t="s">
        <v>170</v>
      </c>
      <c r="B100" s="29">
        <v>43281</v>
      </c>
      <c r="C100" s="33">
        <v>17</v>
      </c>
      <c r="D100" s="33">
        <v>16</v>
      </c>
      <c r="E100" s="33">
        <v>18</v>
      </c>
      <c r="F100" s="6" t="s">
        <v>180</v>
      </c>
    </row>
    <row r="101" spans="1:6" x14ac:dyDescent="0.25">
      <c r="A101" s="14" t="s">
        <v>170</v>
      </c>
      <c r="B101" s="28">
        <v>51317</v>
      </c>
      <c r="C101" s="33">
        <v>30</v>
      </c>
      <c r="D101" s="33"/>
      <c r="E101" s="33"/>
      <c r="F101" s="1" t="s">
        <v>182</v>
      </c>
    </row>
    <row r="102" spans="1:6" x14ac:dyDescent="0.25">
      <c r="A102" s="14" t="s">
        <v>171</v>
      </c>
      <c r="B102" s="29">
        <v>42185</v>
      </c>
      <c r="C102" s="33">
        <v>39</v>
      </c>
      <c r="D102" s="33"/>
      <c r="E102" s="33"/>
      <c r="F102" s="6" t="s">
        <v>180</v>
      </c>
    </row>
    <row r="103" spans="1:6" x14ac:dyDescent="0.25">
      <c r="A103" s="14" t="s">
        <v>171</v>
      </c>
      <c r="B103" s="28">
        <v>51317</v>
      </c>
      <c r="C103" s="33">
        <v>35</v>
      </c>
      <c r="D103" s="33"/>
      <c r="E103" s="33"/>
      <c r="F103" s="1" t="s">
        <v>182</v>
      </c>
    </row>
    <row r="104" spans="1:6" x14ac:dyDescent="0.25">
      <c r="A104" s="14" t="s">
        <v>170</v>
      </c>
      <c r="B104" s="28">
        <v>51317</v>
      </c>
      <c r="C104" s="33">
        <v>30</v>
      </c>
      <c r="D104" s="26"/>
      <c r="E104" s="26"/>
      <c r="F104" s="1" t="s">
        <v>182</v>
      </c>
    </row>
    <row r="105" spans="1:6" x14ac:dyDescent="0.25">
      <c r="A105" s="14" t="s">
        <v>162</v>
      </c>
      <c r="B105" s="29">
        <v>43281</v>
      </c>
      <c r="C105" s="33">
        <v>41.67</v>
      </c>
      <c r="F105" s="6" t="s">
        <v>180</v>
      </c>
    </row>
    <row r="106" spans="1:6" x14ac:dyDescent="0.25">
      <c r="A106" s="14" t="s">
        <v>162</v>
      </c>
      <c r="B106" s="29">
        <v>43646</v>
      </c>
      <c r="C106" s="33">
        <v>41.11</v>
      </c>
      <c r="F106" s="6" t="s">
        <v>181</v>
      </c>
    </row>
    <row r="107" spans="1:6" x14ac:dyDescent="0.25">
      <c r="A107" s="14" t="s">
        <v>162</v>
      </c>
      <c r="B107" s="28">
        <v>51317</v>
      </c>
      <c r="C107" s="33">
        <v>90</v>
      </c>
      <c r="F107" s="1" t="s">
        <v>182</v>
      </c>
    </row>
    <row r="108" spans="1:6" x14ac:dyDescent="0.25">
      <c r="A108" s="14" t="s">
        <v>163</v>
      </c>
      <c r="B108" s="29">
        <v>43646</v>
      </c>
      <c r="C108" s="33">
        <v>50</v>
      </c>
      <c r="F108" s="6" t="s">
        <v>180</v>
      </c>
    </row>
    <row r="109" spans="1:6" x14ac:dyDescent="0.25">
      <c r="A109" s="14" t="s">
        <v>163</v>
      </c>
      <c r="B109" s="28">
        <v>51317</v>
      </c>
      <c r="C109" s="33">
        <v>75</v>
      </c>
      <c r="F109" s="1" t="s">
        <v>182</v>
      </c>
    </row>
    <row r="110" spans="1:6" x14ac:dyDescent="0.25">
      <c r="A110" s="14" t="s">
        <v>172</v>
      </c>
      <c r="B110" s="29">
        <v>43646</v>
      </c>
      <c r="C110" s="33">
        <v>80</v>
      </c>
      <c r="F110" s="6" t="s">
        <v>180</v>
      </c>
    </row>
    <row r="111" spans="1:6" x14ac:dyDescent="0.25">
      <c r="A111" s="14" t="s">
        <v>172</v>
      </c>
      <c r="B111" s="28">
        <v>51317</v>
      </c>
      <c r="C111" s="33">
        <v>100</v>
      </c>
      <c r="F111" s="1" t="s">
        <v>182</v>
      </c>
    </row>
    <row r="112" spans="1:6" x14ac:dyDescent="0.25">
      <c r="A112" s="15" t="s">
        <v>164</v>
      </c>
      <c r="B112" s="29">
        <v>43281</v>
      </c>
      <c r="C112" s="33">
        <v>75</v>
      </c>
      <c r="F112" s="6" t="s">
        <v>180</v>
      </c>
    </row>
    <row r="113" spans="1:6" x14ac:dyDescent="0.25">
      <c r="A113" s="15" t="s">
        <v>164</v>
      </c>
      <c r="B113" s="29">
        <v>43646</v>
      </c>
      <c r="C113" s="33">
        <v>80</v>
      </c>
      <c r="F113" s="6" t="s">
        <v>181</v>
      </c>
    </row>
    <row r="114" spans="1:6" x14ac:dyDescent="0.25">
      <c r="A114" s="15" t="s">
        <v>164</v>
      </c>
      <c r="B114" s="28">
        <v>51317</v>
      </c>
      <c r="C114" s="33">
        <v>100</v>
      </c>
      <c r="F114" s="1" t="s">
        <v>182</v>
      </c>
    </row>
    <row r="115" spans="1:6" x14ac:dyDescent="0.25">
      <c r="A115" s="15" t="s">
        <v>165</v>
      </c>
      <c r="B115" s="29">
        <v>43281</v>
      </c>
      <c r="C115" s="33">
        <v>0</v>
      </c>
      <c r="F115" s="6" t="s">
        <v>180</v>
      </c>
    </row>
    <row r="116" spans="1:6" x14ac:dyDescent="0.25">
      <c r="A116" s="15" t="s">
        <v>165</v>
      </c>
      <c r="B116" s="29">
        <v>43646</v>
      </c>
      <c r="C116" s="33">
        <v>5.4</v>
      </c>
      <c r="F116" s="6" t="s">
        <v>181</v>
      </c>
    </row>
    <row r="117" spans="1:6" x14ac:dyDescent="0.25">
      <c r="A117" s="15" t="s">
        <v>165</v>
      </c>
      <c r="B117" s="28">
        <v>51317</v>
      </c>
      <c r="C117" s="33">
        <v>100</v>
      </c>
      <c r="F117" s="1" t="s">
        <v>182</v>
      </c>
    </row>
    <row r="118" spans="1:6" x14ac:dyDescent="0.25">
      <c r="A118" s="15" t="s">
        <v>173</v>
      </c>
      <c r="B118" s="29">
        <v>43281</v>
      </c>
      <c r="C118" s="27">
        <v>4.17</v>
      </c>
      <c r="F118" s="6" t="s">
        <v>180</v>
      </c>
    </row>
    <row r="119" spans="1:6" x14ac:dyDescent="0.25">
      <c r="A119" s="15" t="s">
        <v>173</v>
      </c>
      <c r="B119" s="29">
        <v>43646</v>
      </c>
      <c r="C119" s="27">
        <v>4.13</v>
      </c>
      <c r="F119" s="6" t="s">
        <v>181</v>
      </c>
    </row>
    <row r="120" spans="1:6" x14ac:dyDescent="0.25">
      <c r="A120" s="15" t="s">
        <v>173</v>
      </c>
      <c r="B120" s="28">
        <v>51317</v>
      </c>
      <c r="C120" s="27">
        <v>4.38</v>
      </c>
      <c r="F120" s="1" t="s">
        <v>182</v>
      </c>
    </row>
    <row r="121" spans="1:6" x14ac:dyDescent="0.25">
      <c r="A121" s="15" t="s">
        <v>166</v>
      </c>
      <c r="B121" s="29">
        <v>43281</v>
      </c>
      <c r="C121" s="27">
        <v>91.1</v>
      </c>
      <c r="F121" s="6" t="s">
        <v>180</v>
      </c>
    </row>
    <row r="122" spans="1:6" x14ac:dyDescent="0.25">
      <c r="A122" s="15" t="s">
        <v>166</v>
      </c>
      <c r="B122" s="28">
        <v>51317</v>
      </c>
      <c r="C122">
        <v>95</v>
      </c>
      <c r="F122" s="1" t="s">
        <v>182</v>
      </c>
    </row>
    <row r="123" spans="1:6" x14ac:dyDescent="0.25">
      <c r="A123" s="15" t="s">
        <v>174</v>
      </c>
      <c r="B123" s="30">
        <v>40724</v>
      </c>
      <c r="C123" s="33">
        <v>55.000000000000007</v>
      </c>
      <c r="F123" s="6" t="s">
        <v>180</v>
      </c>
    </row>
    <row r="124" spans="1:6" x14ac:dyDescent="0.25">
      <c r="A124" s="15" t="s">
        <v>174</v>
      </c>
      <c r="B124" s="28">
        <v>51317</v>
      </c>
      <c r="C124" s="33">
        <v>57.8</v>
      </c>
      <c r="F124" s="1" t="s">
        <v>182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0"/>
  <sheetViews>
    <sheetView workbookViewId="0">
      <selection activeCell="H31" sqref="H31"/>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9" t="s">
        <v>176</v>
      </c>
      <c r="B1" s="23" t="s">
        <v>178</v>
      </c>
      <c r="C1" s="23" t="s">
        <v>186</v>
      </c>
    </row>
    <row r="2" spans="1:3" x14ac:dyDescent="0.25">
      <c r="A2" s="12" t="s">
        <v>139</v>
      </c>
      <c r="B2" t="s">
        <v>194</v>
      </c>
      <c r="C2" t="s">
        <v>194</v>
      </c>
    </row>
    <row r="3" spans="1:3" x14ac:dyDescent="0.25">
      <c r="A3" s="12" t="s">
        <v>141</v>
      </c>
      <c r="B3" t="s">
        <v>195</v>
      </c>
      <c r="C3" t="s">
        <v>230</v>
      </c>
    </row>
    <row r="4" spans="1:3" x14ac:dyDescent="0.25">
      <c r="A4" s="12" t="s">
        <v>140</v>
      </c>
      <c r="B4" t="s">
        <v>195</v>
      </c>
      <c r="C4" t="s">
        <v>230</v>
      </c>
    </row>
    <row r="5" spans="1:3" x14ac:dyDescent="0.25">
      <c r="A5" s="12" t="s">
        <v>142</v>
      </c>
      <c r="B5" t="s">
        <v>195</v>
      </c>
      <c r="C5" t="s">
        <v>195</v>
      </c>
    </row>
    <row r="6" spans="1:3" x14ac:dyDescent="0.25">
      <c r="A6" s="12" t="s">
        <v>143</v>
      </c>
      <c r="B6" t="s">
        <v>195</v>
      </c>
      <c r="C6" t="s">
        <v>230</v>
      </c>
    </row>
    <row r="7" spans="1:3" x14ac:dyDescent="0.25">
      <c r="A7" s="12" t="s">
        <v>144</v>
      </c>
      <c r="B7" t="s">
        <v>195</v>
      </c>
      <c r="C7" t="s">
        <v>195</v>
      </c>
    </row>
    <row r="8" spans="1:3" x14ac:dyDescent="0.25">
      <c r="A8" s="12" t="s">
        <v>147</v>
      </c>
      <c r="B8" t="s">
        <v>195</v>
      </c>
      <c r="C8" t="s">
        <v>230</v>
      </c>
    </row>
    <row r="9" spans="1:3" x14ac:dyDescent="0.25">
      <c r="A9" s="12" t="s">
        <v>183</v>
      </c>
      <c r="B9" t="s">
        <v>195</v>
      </c>
      <c r="C9" t="s">
        <v>230</v>
      </c>
    </row>
    <row r="10" spans="1:3" x14ac:dyDescent="0.25">
      <c r="A10" s="12" t="s">
        <v>184</v>
      </c>
      <c r="B10" t="s">
        <v>195</v>
      </c>
      <c r="C10" t="s">
        <v>195</v>
      </c>
    </row>
    <row r="11" spans="1:3" x14ac:dyDescent="0.25">
      <c r="A11" s="12" t="s">
        <v>145</v>
      </c>
      <c r="B11" t="s">
        <v>285</v>
      </c>
      <c r="C11" t="s">
        <v>231</v>
      </c>
    </row>
    <row r="12" spans="1:3" x14ac:dyDescent="0.25">
      <c r="A12" s="12" t="s">
        <v>146</v>
      </c>
      <c r="B12" t="s">
        <v>195</v>
      </c>
      <c r="C12" t="s">
        <v>195</v>
      </c>
    </row>
    <row r="13" spans="1:3" x14ac:dyDescent="0.25">
      <c r="A13" s="13" t="s">
        <v>148</v>
      </c>
      <c r="B13" t="s">
        <v>195</v>
      </c>
      <c r="C13" t="s">
        <v>195</v>
      </c>
    </row>
    <row r="14" spans="1:3" x14ac:dyDescent="0.25">
      <c r="A14" s="13" t="s">
        <v>149</v>
      </c>
      <c r="B14" t="s">
        <v>195</v>
      </c>
      <c r="C14" t="s">
        <v>195</v>
      </c>
    </row>
    <row r="15" spans="1:3" x14ac:dyDescent="0.25">
      <c r="A15" s="13" t="s">
        <v>150</v>
      </c>
      <c r="B15" t="s">
        <v>195</v>
      </c>
      <c r="C15" t="s">
        <v>195</v>
      </c>
    </row>
    <row r="16" spans="1:3" x14ac:dyDescent="0.25">
      <c r="A16" s="13" t="s">
        <v>151</v>
      </c>
      <c r="B16" t="s">
        <v>292</v>
      </c>
      <c r="C16" t="s">
        <v>292</v>
      </c>
    </row>
    <row r="17" spans="1:3" x14ac:dyDescent="0.25">
      <c r="A17" s="13" t="s">
        <v>152</v>
      </c>
      <c r="B17" t="s">
        <v>195</v>
      </c>
      <c r="C17" t="s">
        <v>195</v>
      </c>
    </row>
    <row r="18" spans="1:3" x14ac:dyDescent="0.25">
      <c r="A18" s="13" t="s">
        <v>153</v>
      </c>
      <c r="B18" t="s">
        <v>297</v>
      </c>
      <c r="C18" t="s">
        <v>297</v>
      </c>
    </row>
    <row r="19" spans="1:3" x14ac:dyDescent="0.25">
      <c r="A19" s="13" t="s">
        <v>154</v>
      </c>
      <c r="B19" t="s">
        <v>285</v>
      </c>
      <c r="C19" t="s">
        <v>231</v>
      </c>
    </row>
    <row r="20" spans="1:3" x14ac:dyDescent="0.25">
      <c r="A20" s="13" t="s">
        <v>344</v>
      </c>
      <c r="B20" t="s">
        <v>195</v>
      </c>
      <c r="C20" t="s">
        <v>195</v>
      </c>
    </row>
    <row r="21" spans="1:3" x14ac:dyDescent="0.25">
      <c r="A21" s="22" t="s">
        <v>155</v>
      </c>
      <c r="B21" t="s">
        <v>195</v>
      </c>
      <c r="C21" t="s">
        <v>195</v>
      </c>
    </row>
    <row r="22" spans="1:3" x14ac:dyDescent="0.25">
      <c r="A22" s="22" t="s">
        <v>156</v>
      </c>
      <c r="B22" t="s">
        <v>195</v>
      </c>
      <c r="C22" t="s">
        <v>195</v>
      </c>
    </row>
    <row r="23" spans="1:3" x14ac:dyDescent="0.25">
      <c r="A23" s="22" t="s">
        <v>157</v>
      </c>
      <c r="B23" t="s">
        <v>195</v>
      </c>
      <c r="C23" t="s">
        <v>195</v>
      </c>
    </row>
    <row r="24" spans="1:3" x14ac:dyDescent="0.25">
      <c r="A24" s="22" t="s">
        <v>158</v>
      </c>
      <c r="B24" t="s">
        <v>237</v>
      </c>
      <c r="C24" t="s">
        <v>237</v>
      </c>
    </row>
    <row r="25" spans="1:3" x14ac:dyDescent="0.25">
      <c r="A25" s="22" t="s">
        <v>159</v>
      </c>
      <c r="B25" t="s">
        <v>195</v>
      </c>
      <c r="C25" t="s">
        <v>195</v>
      </c>
    </row>
    <row r="26" spans="1:3" x14ac:dyDescent="0.25">
      <c r="A26" s="14" t="s">
        <v>160</v>
      </c>
      <c r="B26" t="s">
        <v>196</v>
      </c>
      <c r="C26" t="s">
        <v>196</v>
      </c>
    </row>
    <row r="27" spans="1:3" x14ac:dyDescent="0.25">
      <c r="A27" s="14" t="s">
        <v>167</v>
      </c>
      <c r="B27" t="s">
        <v>196</v>
      </c>
      <c r="C27" t="s">
        <v>196</v>
      </c>
    </row>
    <row r="28" spans="1:3" x14ac:dyDescent="0.25">
      <c r="A28" s="14" t="s">
        <v>161</v>
      </c>
      <c r="B28" t="s">
        <v>197</v>
      </c>
      <c r="C28" t="s">
        <v>197</v>
      </c>
    </row>
    <row r="29" spans="1:3" x14ac:dyDescent="0.25">
      <c r="A29" s="14" t="s">
        <v>168</v>
      </c>
      <c r="B29" t="s">
        <v>198</v>
      </c>
      <c r="C29" t="s">
        <v>198</v>
      </c>
    </row>
    <row r="30" spans="1:3" x14ac:dyDescent="0.25">
      <c r="A30" s="14" t="s">
        <v>169</v>
      </c>
      <c r="B30" t="s">
        <v>198</v>
      </c>
      <c r="C30" t="s">
        <v>198</v>
      </c>
    </row>
    <row r="31" spans="1:3" x14ac:dyDescent="0.25">
      <c r="A31" s="14" t="s">
        <v>170</v>
      </c>
      <c r="B31" t="s">
        <v>195</v>
      </c>
      <c r="C31" t="s">
        <v>230</v>
      </c>
    </row>
    <row r="32" spans="1:3" x14ac:dyDescent="0.25">
      <c r="A32" s="14" t="s">
        <v>171</v>
      </c>
      <c r="B32" t="s">
        <v>198</v>
      </c>
      <c r="C32" t="s">
        <v>198</v>
      </c>
    </row>
    <row r="33" spans="1:3" x14ac:dyDescent="0.25">
      <c r="A33" s="14" t="s">
        <v>162</v>
      </c>
      <c r="B33" t="s">
        <v>195</v>
      </c>
      <c r="C33" t="s">
        <v>195</v>
      </c>
    </row>
    <row r="34" spans="1:3" x14ac:dyDescent="0.25">
      <c r="A34" s="14" t="s">
        <v>163</v>
      </c>
      <c r="B34" t="s">
        <v>195</v>
      </c>
      <c r="C34" t="s">
        <v>195</v>
      </c>
    </row>
    <row r="35" spans="1:3" x14ac:dyDescent="0.25">
      <c r="A35" s="14" t="s">
        <v>172</v>
      </c>
      <c r="B35" t="s">
        <v>195</v>
      </c>
      <c r="C35" t="s">
        <v>195</v>
      </c>
    </row>
    <row r="36" spans="1:3" x14ac:dyDescent="0.25">
      <c r="A36" s="15" t="s">
        <v>164</v>
      </c>
      <c r="B36" t="s">
        <v>195</v>
      </c>
      <c r="C36" t="s">
        <v>195</v>
      </c>
    </row>
    <row r="37" spans="1:3" x14ac:dyDescent="0.25">
      <c r="A37" s="15" t="s">
        <v>165</v>
      </c>
      <c r="B37" t="s">
        <v>195</v>
      </c>
      <c r="C37" t="s">
        <v>195</v>
      </c>
    </row>
    <row r="38" spans="1:3" x14ac:dyDescent="0.25">
      <c r="A38" s="15" t="s">
        <v>173</v>
      </c>
      <c r="B38" t="s">
        <v>194</v>
      </c>
      <c r="C38" t="s">
        <v>194</v>
      </c>
    </row>
    <row r="39" spans="1:3" x14ac:dyDescent="0.25">
      <c r="A39" s="15" t="s">
        <v>166</v>
      </c>
      <c r="B39" t="s">
        <v>195</v>
      </c>
      <c r="C39" t="s">
        <v>195</v>
      </c>
    </row>
    <row r="40" spans="1:3" x14ac:dyDescent="0.25">
      <c r="A40" s="15" t="s">
        <v>174</v>
      </c>
      <c r="B40" t="s">
        <v>195</v>
      </c>
      <c r="C40" t="s">
        <v>195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2020-03-04T03:42:07Z</dcterms:modified>
</cp:coreProperties>
</file>