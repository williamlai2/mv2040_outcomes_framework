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08A14F7C-ACB0-4E78-AD8D-FA1CB648A108}" xr6:coauthVersionLast="36" xr6:coauthVersionMax="36" xr10:uidLastSave="{00000000-0000-0000-0000-000000000000}"/>
  <bookViews>
    <workbookView xWindow="0" yWindow="0" windowWidth="22920" windowHeight="15240" activeTab="2" xr2:uid="{EDE946D3-B550-4852-B98C-D382147A5E7C}"/>
  </bookViews>
  <sheets>
    <sheet name="Targets Indicators Measures" sheetId="9" r:id="rId1"/>
    <sheet name="Notes" sheetId="11" r:id="rId2"/>
    <sheet name="indicator_list" sheetId="12" r:id="rId3"/>
    <sheet name="inds_goals" sheetId="16" r:id="rId4"/>
    <sheet name="goals" sheetId="13" r:id="rId5"/>
    <sheet name="data" sheetId="14" r:id="rId6"/>
    <sheet name="data_format" sheetId="15" r:id="rId7"/>
  </sheets>
  <definedNames>
    <definedName name="_xlnm._FilterDatabase" localSheetId="5" hidden="1">data!$A$1:$I$119</definedName>
    <definedName name="_xlnm._FilterDatabase" localSheetId="2"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<sst xmlns="http://schemas.openxmlformats.org/spreadsheetml/2006/main" count="2889" uniqueCount="598">
  <si>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</si>
  <si>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</si>
  <si>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</si>
  <si>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</si>
  <si>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</si>
  <si>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</si>
  <si>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</si>
  <si>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</si>
  <si>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</si>
  <si>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</si>
  <si>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</si>
  <si>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</si>
  <si>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</si>
  <si>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</si>
  <si>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</si>
  <si>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</si>
  <si>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</si>
  <si>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Australian Early Development Census</t>
  </si>
  <si>
    <t>Remplan</t>
  </si>
  <si>
    <t>Council annual audit</t>
  </si>
  <si>
    <t xml:space="preserve">ABS, SGS </t>
  </si>
  <si>
    <t xml:space="preserve">ABS - Census of Population and Housing </t>
  </si>
  <si>
    <t>MV2040 Target/Indicator - improved accessibility measured by *number of people walking for short trips, *number of locals using PT, *number of people cycling, *investment improvements to PT</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</si>
  <si>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</si>
  <si>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</si>
  <si>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</si>
  <si>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</si>
  <si>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</si>
  <si>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</si>
  <si>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</si>
  <si>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</si>
  <si>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</si>
  <si>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</si>
  <si>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</si>
  <si>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</si>
  <si>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</si>
  <si>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</si>
  <si>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</si>
  <si>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</si>
  <si>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</si>
  <si>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</si>
  <si>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</si>
  <si>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</si>
  <si>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</si>
  <si>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</si>
  <si>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</si>
  <si>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</si>
  <si>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</si>
  <si>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</si>
  <si>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</si>
  <si>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</si>
  <si>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</si>
  <si>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</si>
  <si>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</si>
  <si>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</si>
  <si>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</si>
  <si>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</si>
  <si>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</si>
  <si>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</si>
  <si>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</si>
  <si>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</si>
  <si>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</si>
  <si>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</si>
  <si>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</si>
  <si>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</si>
  <si>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</si>
  <si>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</si>
  <si>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</si>
  <si>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</si>
  <si>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</si>
  <si>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</si>
  <si>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</si>
  <si>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</si>
  <si>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</si>
  <si>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</si>
  <si>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</si>
  <si>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</si>
  <si>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</si>
  <si>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</si>
  <si>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</si>
  <si>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</si>
  <si>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</si>
  <si>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</si>
  <si>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</si>
  <si>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</si>
  <si>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</si>
  <si>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</si>
  <si>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</si>
  <si>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</si>
  <si>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</si>
  <si>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</si>
  <si>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</si>
  <si>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</si>
  <si>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Healthy and safe</t>
  </si>
  <si>
    <t>Waste</t>
  </si>
  <si>
    <t>Year of baseline</t>
  </si>
  <si>
    <t>Result</t>
  </si>
  <si>
    <t>Level of progress towards zero trauma vision and prioritising the safe systems approach</t>
  </si>
  <si>
    <t>Housing</t>
  </si>
  <si>
    <t>Transport technology</t>
  </si>
  <si>
    <t xml:space="preserve">Water sensitive </t>
  </si>
  <si>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</si>
  <si>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</si>
  <si>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</si>
  <si>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</si>
  <si>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</si>
  <si>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</si>
  <si>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</si>
  <si>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</si>
  <si>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</si>
  <si>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</si>
  <si>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</si>
  <si>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</si>
  <si>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</si>
  <si>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</si>
  <si>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</si>
  <si>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</si>
  <si>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</si>
  <si>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</si>
  <si>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</si>
  <si>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</si>
  <si>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</si>
  <si>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</si>
  <si>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</si>
  <si>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</si>
  <si>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</si>
  <si>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</si>
  <si>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</si>
  <si>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</si>
  <si>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</si>
  <si>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</si>
  <si>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</si>
  <si>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</si>
  <si>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</si>
  <si>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</si>
  <si>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</si>
  <si>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</si>
  <si>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</si>
  <si>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</si>
  <si>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</si>
  <si>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</si>
  <si>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</si>
  <si>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</si>
  <si>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</si>
  <si>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</si>
  <si>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</si>
  <si>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</si>
  <si>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</si>
  <si>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</si>
  <si>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</si>
  <si>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</si>
  <si>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</si>
  <si>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</si>
  <si>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</si>
  <si>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</si>
  <si>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</si>
  <si>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</si>
  <si>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</si>
  <si>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</si>
  <si>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</si>
  <si>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</si>
  <si>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</si>
  <si>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</si>
  <si>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</si>
  <si>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</si>
  <si>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</si>
  <si>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</si>
  <si>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</si>
  <si>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</si>
  <si>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</si>
  <si>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</si>
  <si>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</si>
  <si>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</si>
  <si>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</si>
  <si>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</si>
  <si>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</si>
  <si>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</si>
  <si>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</si>
  <si>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</si>
  <si>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</si>
  <si>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</si>
  <si>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</si>
  <si>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</si>
  <si>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</si>
  <si>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</si>
  <si>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</si>
  <si>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</si>
  <si>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</si>
  <si>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</si>
  <si>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</si>
  <si>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</si>
  <si>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</si>
  <si>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</si>
  <si>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</si>
  <si>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</si>
  <si>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</si>
  <si>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</si>
  <si>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</si>
  <si>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</si>
  <si>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</si>
  <si>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</si>
  <si>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</si>
  <si>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</si>
  <si>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</si>
  <si>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</si>
  <si>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</si>
  <si>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</si>
  <si>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</si>
  <si>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</si>
  <si>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</si>
  <si>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</si>
  <si>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</si>
  <si>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</si>
  <si>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</si>
  <si>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</si>
  <si>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</si>
  <si>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</si>
  <si>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</si>
  <si>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</si>
  <si>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</si>
  <si>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</si>
  <si>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</si>
  <si>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</si>
  <si>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</si>
  <si>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</si>
  <si>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</si>
  <si>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</si>
  <si>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</si>
  <si>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</si>
  <si>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</si>
  <si>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</si>
  <si>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</si>
  <si>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</si>
  <si>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</si>
  <si>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</si>
  <si>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</si>
  <si>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</si>
  <si>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</si>
  <si>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</si>
  <si>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</si>
  <si>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</si>
  <si>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</si>
  <si>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</si>
  <si>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</si>
  <si>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</si>
  <si>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</si>
  <si>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</si>
  <si>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</si>
  <si>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</si>
  <si>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</si>
  <si>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</si>
  <si>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</si>
  <si>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</si>
  <si>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</si>
  <si>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</si>
  <si>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</si>
  <si>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</si>
  <si>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</si>
  <si>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</si>
  <si>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</si>
  <si>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</si>
  <si>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</si>
  <si>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</si>
  <si>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</si>
  <si>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</si>
  <si>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</si>
  <si>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</si>
  <si>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</si>
  <si>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</si>
  <si>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</si>
  <si>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</si>
  <si>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</si>
  <si>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</si>
  <si>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</si>
  <si>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</si>
  <si>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</si>
  <si>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</si>
  <si>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</si>
  <si>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</si>
  <si>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</si>
  <si>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</si>
  <si>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</si>
  <si>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</si>
  <si>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</si>
  <si>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</si>
  <si>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</si>
  <si>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</si>
  <si>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</si>
  <si>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</si>
  <si>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</si>
  <si>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</si>
  <si>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</si>
  <si>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</si>
  <si>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</si>
  <si>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</si>
  <si>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</si>
  <si>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</si>
  <si>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</si>
  <si>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</si>
  <si>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</si>
  <si>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</si>
  <si>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</si>
  <si>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</si>
  <si>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</si>
  <si>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</si>
  <si>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</si>
  <si>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</si>
  <si>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</si>
  <si>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</si>
  <si>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</si>
  <si>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</si>
  <si>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</si>
  <si>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</si>
  <si>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</si>
  <si>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</si>
  <si>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</si>
  <si>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</si>
  <si>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</si>
  <si>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</si>
  <si>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</si>
  <si>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</si>
  <si>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</si>
  <si>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</si>
  <si>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</si>
  <si>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</si>
  <si>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</si>
  <si>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</si>
  <si>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</si>
  <si>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</si>
  <si>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</si>
  <si>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</si>
  <si>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</si>
  <si>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</si>
  <si>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</si>
  <si>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</si>
  <si>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</si>
  <si>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</si>
  <si>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</si>
  <si>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</si>
  <si>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</si>
  <si>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</si>
  <si>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</si>
  <si>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</si>
  <si>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</si>
  <si>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</si>
  <si>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</si>
  <si>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</si>
  <si>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</si>
  <si>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</si>
  <si>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</si>
  <si>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</si>
  <si>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</si>
  <si>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</si>
  <si>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</si>
  <si>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</si>
  <si>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</si>
  <si>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</si>
  <si>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</si>
  <si>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</si>
  <si>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</si>
  <si>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</si>
  <si>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</si>
  <si>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</si>
  <si>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</si>
  <si>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</si>
  <si>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</si>
  <si>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</si>
  <si>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</si>
  <si>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</si>
  <si>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</si>
  <si>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</si>
  <si>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</si>
  <si>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</si>
  <si>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</si>
  <si>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</si>
  <si>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</si>
  <si>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</si>
  <si>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</si>
  <si>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</si>
  <si>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</si>
  <si>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</si>
  <si>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</si>
  <si>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</si>
  <si>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</si>
  <si>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</si>
  <si>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</si>
  <si>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</si>
  <si>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</si>
  <si>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</si>
  <si>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</si>
  <si>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</si>
  <si>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</si>
  <si>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</si>
  <si>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</si>
  <si>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</si>
  <si>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</si>
  <si>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</si>
  <si>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</si>
  <si>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</si>
  <si>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</si>
  <si>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</si>
  <si>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</si>
  <si>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</si>
  <si>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</si>
  <si>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</si>
  <si>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</si>
  <si>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</si>
  <si>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</si>
  <si>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</si>
  <si>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</si>
  <si>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</si>
  <si>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</si>
  <si>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</si>
  <si>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</si>
  <si>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</si>
  <si>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</si>
  <si>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</si>
  <si>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</si>
  <si>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</si>
  <si>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</si>
  <si>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</si>
  <si>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</si>
  <si>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</si>
  <si>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</si>
  <si>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</si>
  <si>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</si>
  <si>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</si>
  <si>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</si>
  <si>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</si>
  <si>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</si>
  <si>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</si>
  <si>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</si>
  <si>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</si>
  <si>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</si>
  <si>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</si>
  <si>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</si>
  <si>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</si>
  <si>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</si>
  <si>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</si>
  <si>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</si>
  <si>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</si>
  <si>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</si>
  <si>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</si>
  <si>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</si>
  <si>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</si>
  <si>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</si>
  <si>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</si>
  <si>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</si>
  <si>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</si>
  <si>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</si>
  <si>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</si>
  <si>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</si>
  <si>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</si>
  <si>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</si>
  <si>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</si>
  <si>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</si>
  <si>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</si>
  <si>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</si>
  <si>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</si>
  <si>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</si>
  <si>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</si>
  <si>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</si>
  <si>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</si>
  <si>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</si>
  <si>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</si>
  <si>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</si>
  <si>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</si>
  <si>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</si>
  <si>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</si>
  <si>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</si>
  <si>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</si>
  <si>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</si>
  <si>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</si>
  <si>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</si>
  <si>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</si>
  <si>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</si>
  <si>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</si>
  <si>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</si>
  <si>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</si>
  <si>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</si>
  <si>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</si>
  <si>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</si>
  <si>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</si>
  <si>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decimal</t>
  </si>
  <si>
    <t>integer</t>
  </si>
  <si>
    <t>percentage</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</si>
  <si>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</si>
  <si>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</si>
  <si>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</si>
  <si>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</si>
  <si>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</si>
  <si>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</si>
  <si>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</si>
  <si>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</si>
  <si>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</si>
  <si>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</si>
  <si>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</si>
  <si>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</si>
  <si>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</si>
  <si>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</si>
  <si>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</si>
  <si>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</si>
  <si>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</si>
  <si>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</si>
  <si>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</si>
  <si>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</si>
  <si>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ABS (6524.0.55.002)</t>
  </si>
  <si>
    <t>Calculated from Council data</t>
  </si>
  <si>
    <t>Calculated from Council and ABS data</t>
  </si>
  <si>
    <t>THIS IS THE MOST RECENT DATA!!!!</t>
  </si>
  <si>
    <t>The GREEN sheets are for use with the database</t>
  </si>
  <si>
    <t>The data in the red sheets are probably not the most recent</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</si>
  <si>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</si>
  <si>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</si>
  <si>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</si>
  <si>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</si>
  <si>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</si>
  <si>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</si>
  <si>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Calculated from aerial photographs (NIR) and Elevation (LiDAR)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</si>
  <si>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</si>
  <si>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</si>
  <si>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</si>
  <si>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</si>
  <si>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</si>
  <si>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</si>
  <si>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</si>
  <si>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</si>
  <si>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</si>
  <si>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</si>
  <si>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 proportion of households with housing costs that represented 30 per cent or more of household income decrease between 2011 and 2016.</t>
  </si>
  <si>
    <t>The proportion of residents who volunteered increased between 2011 and 2016.</t>
  </si>
  <si>
    <t>Number of first year children enrolled in kindergarten divided by the number of 3 year old children (70%) and 4 year old children (30%) based on the previous year's estimated resident population</t>
  </si>
  <si>
    <t>Approximately 17 per cent of Moonee Valley residents are active library members. Council is rolling out a number of programs to increase this figure.</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</si>
  <si>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</si>
  <si>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</si>
  <si>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</si>
  <si>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One of the six activity centres in Moonee Valley has public Wi-Fi.</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</si>
  <si>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</si>
  <si>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</si>
  <si>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At present, no residential streets have a speed limit of 40 kph.</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</si>
  <si>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</si>
  <si>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</si>
  <si>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</si>
  <si>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</si>
  <si>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</si>
  <si>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</si>
  <si>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</si>
  <si>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</si>
  <si>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</si>
  <si>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Data not yet available.</t>
  </si>
  <si>
    <t>About 80 per cent of Council's facilities are disability accessible</t>
  </si>
  <si>
    <t>Open space provision is at about 4.1 hectares per 1,000 population</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</si>
  <si>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</si>
  <si>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</si>
  <si>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</si>
  <si>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</si>
  <si>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</si>
  <si>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</si>
  <si>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</si>
  <si>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</si>
  <si>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</si>
  <si>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</si>
  <si>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</si>
  <si>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</si>
  <si>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</si>
  <si>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</si>
  <si>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</si>
  <si>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</si>
  <si>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</si>
  <si>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</si>
  <si>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</si>
  <si>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</si>
  <si>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</si>
  <si>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</si>
  <si>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</si>
  <si>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</si>
  <si>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</si>
  <si>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</si>
  <si>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</si>
  <si>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</si>
  <si>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</si>
  <si>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</si>
  <si>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</si>
  <si>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</si>
  <si>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</si>
  <si>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</si>
  <si>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</si>
  <si>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Feeling unsafe in their community can affect peoples health and wellbeing. If people feel unsafe, it can negatively influence their social activities and erode trust within their communities.</t>
  </si>
  <si>
    <t>Obesity is a risk factor for chronic diseases. Adequate physical activity reduces the risk of obesity.  High rates of obesity put added strain on health services. Being overweight or obese can also affect a person's quality of life.</t>
  </si>
  <si>
    <t>he unemployment rate is an indicator of the amount of spare capacity in a city's labour market. Being unemployed also has implications for a person's economic, social and emotional wellbeing.</t>
  </si>
  <si>
    <t>A well-integrated and accessible public transport system has potential to reduce traffic congestion in a city and improve residents' access to jobs and goods and services.</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</si>
  <si>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</si>
  <si>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</si>
  <si>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</si>
  <si>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</si>
  <si>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kindergarten enrolment rate in Moonee Valley is around 92 per cent.</t>
  </si>
  <si>
    <t>There was a decrease in the index score for satisfaction with Council decision making between 2018 and 2019.</t>
  </si>
  <si>
    <t>About five per cent of Council's open spaces have been upgraded since June 2018 (eight out of 220 spaces)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</si>
</sst>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0" x14ac:knownFonts="1">
    <font>
      <sz val="11"/>
      <color theme="1"/>
      <name val="Calibri"/>
      <family val="2"/>
      <scheme val="minor"/>
    </font>
    <font>
      <b/>
      <sz val="11"/>
      <color theme="0"/>
      <name val="Calibri"/>
      <family val="2"/>
      <scheme val="minor"/>
    </font>
    <font>
      <sz val="11"/>
      <color theme="5" tint="-0.249977111117893"/>
      <name val="Calibri"/>
      <family val="2"/>
      <scheme val="minor"/>
    </font>
    <font>
      <u/>
      <sz val="11"/>
      <color theme="1"/>
      <name val="Calibri"/>
      <family val="2"/>
      <scheme val="minor"/>
    </font>
    <font>
      <sz val="11"/>
      <color rgb="FFFF0000"/>
      <name val="Calibri"/>
      <family val="2"/>
      <scheme val="minor"/>
    </font>
    <font>
      <sz val="11"/>
      <color theme="1"/>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19">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5" fillId="0" borderId="0" applyFont="0" applyFill="0" applyBorder="0" applyAlignment="0" applyProtection="0"/>
  </cellStyleXfs>
  <cellXfs count="74">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2" fillId="3" borderId="0" xfId="0" applyFont="1" applyFill="1" applyAlignment="1">
      <alignment vertical="center" wrapText="1"/>
    </xf>
    <xf numFmtId="0" fontId="0" fillId="7" borderId="0" xfId="0" applyFill="1" applyAlignment="1">
      <alignment vertical="center" wrapText="1"/>
    </xf>
    <xf numFmtId="0" fontId="0" fillId="7" borderId="0" xfId="0" applyFill="1" applyAlignment="1">
      <alignment wrapText="1"/>
    </xf>
    <xf numFmtId="0" fontId="0" fillId="7" borderId="0" xfId="0" applyFill="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4" fillId="7"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3"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0" fillId="0" borderId="0" xfId="0" applyFill="1" applyAlignment="1">
      <alignment wrapText="1"/>
    </xf>
    <xf numFmtId="0" fontId="1" fillId="2" borderId="0" xfId="0" applyFont="1" applyFill="1" applyAlignment="1">
      <alignment horizontal="center" vertical="top" wrapText="1"/>
    </xf>
    <xf numFmtId="0" fontId="6" fillId="8" borderId="0" xfId="0" applyFont="1" applyFill="1" applyAlignment="1">
      <alignment horizontal="center" vertical="top" wrapText="1"/>
    </xf>
    <xf numFmtId="0" fontId="9" fillId="2" borderId="0" xfId="0" applyFont="1" applyFill="1" applyAlignment="1">
      <alignment horizontal="center" vertical="top" wrapText="1"/>
    </xf>
    <xf numFmtId="0" fontId="0" fillId="9" borderId="0" xfId="0" applyFill="1" applyAlignment="1">
      <alignment vertical="center" wrapText="1"/>
    </xf>
    <xf numFmtId="0" fontId="0" fillId="8" borderId="0" xfId="0" applyFill="1" applyAlignment="1">
      <alignment vertical="center" wrapText="1"/>
    </xf>
    <xf numFmtId="0" fontId="0" fillId="10" borderId="0" xfId="0" applyFill="1" applyAlignment="1">
      <alignment vertical="center" wrapText="1"/>
    </xf>
    <xf numFmtId="0" fontId="1" fillId="11" borderId="0" xfId="0" applyFont="1" applyFill="1" applyAlignment="1">
      <alignment horizontal="center" vertical="center"/>
    </xf>
    <xf numFmtId="0" fontId="1" fillId="12" borderId="0" xfId="0" applyFont="1" applyFill="1" applyAlignment="1">
      <alignment horizontal="center" vertical="center"/>
    </xf>
    <xf numFmtId="0" fontId="1" fillId="4" borderId="0" xfId="0" applyFont="1" applyFill="1" applyAlignment="1">
      <alignment horizontal="center" vertical="center"/>
    </xf>
    <xf numFmtId="0" fontId="1" fillId="13" borderId="0" xfId="0" applyFont="1" applyFill="1" applyAlignment="1">
      <alignment horizontal="center" vertical="center"/>
    </xf>
    <xf numFmtId="0" fontId="0" fillId="0" borderId="0" xfId="0" applyFont="1" applyAlignment="1">
      <alignment vertical="center" wrapText="1"/>
    </xf>
    <xf numFmtId="0" fontId="0" fillId="14" borderId="0" xfId="0" applyFill="1" applyAlignment="1">
      <alignment vertical="center" wrapText="1"/>
    </xf>
    <xf numFmtId="9" fontId="0" fillId="4" borderId="0" xfId="0" applyNumberFormat="1" applyFill="1" applyAlignment="1">
      <alignment vertical="center" wrapText="1"/>
    </xf>
    <xf numFmtId="9" fontId="0" fillId="6" borderId="0" xfId="0" applyNumberFormat="1" applyFill="1" applyAlignment="1">
      <alignment vertical="center" wrapText="1"/>
    </xf>
    <xf numFmtId="0" fontId="0" fillId="15"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7" borderId="0" xfId="0" applyNumberFormat="1" applyFill="1" applyAlignment="1">
      <alignment vertical="center" wrapText="1"/>
    </xf>
    <xf numFmtId="9" fontId="0" fillId="10" borderId="0" xfId="0" applyNumberFormat="1" applyFill="1" applyAlignment="1">
      <alignment vertical="center" wrapText="1"/>
    </xf>
    <xf numFmtId="9" fontId="0" fillId="16" borderId="0" xfId="0" applyNumberFormat="1" applyFill="1" applyAlignment="1">
      <alignment vertical="center" wrapText="1"/>
    </xf>
    <xf numFmtId="3" fontId="0" fillId="7" borderId="0" xfId="0" applyNumberFormat="1" applyFill="1" applyAlignment="1">
      <alignment vertical="center" wrapText="1"/>
    </xf>
    <xf numFmtId="9" fontId="0" fillId="17"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5"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18" borderId="0" xfId="0" applyFill="1"/>
    <xf numFmtId="0" fontId="0" fillId="11" borderId="0" xfId="0" applyFill="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cellXfs>
  <cellStyles count="2">
    <cellStyle name="Normal" xfId="0" builtinId="0"/>
    <cellStyle name="Percent" xfId="1" builtinId="5"/>
  </cellStyles>
  <dxfs count="161">
    <dxf>
      <font>
        <color theme="5"/>
      </font>
      <fill>
        <patternFill>
          <bgColor theme="7"/>
        </patternFill>
      </fill>
    </dxf>
    <dxf>
      <font>
        <color theme="8"/>
      </font>
      <fill>
        <patternFill>
          <bgColor theme="4" tint="0.79998168889431442"/>
        </patternFill>
      </fill>
    </dxf>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F1" workbookViewId="0">
      <selection activeCell="V2" sqref="V2"/>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25" t="s">
        <v>440</v>
      </c>
      <c r="B1" s="25" t="s">
        <v>1</v>
      </c>
      <c r="C1" s="25" t="s">
        <v>179</v>
      </c>
      <c r="D1" s="25" t="s">
        <v>23</v>
      </c>
      <c r="E1" s="25" t="s">
        <v>353</v>
      </c>
      <c r="F1" s="25" t="s">
        <v>2</v>
      </c>
      <c r="G1" s="25" t="s">
        <v>147</v>
      </c>
      <c r="H1" s="25" t="s">
        <v>102</v>
      </c>
      <c r="I1" s="25" t="s">
        <v>63</v>
      </c>
      <c r="J1" s="25" t="s">
        <v>10</v>
      </c>
      <c r="K1" s="25" t="s">
        <v>95</v>
      </c>
      <c r="L1" s="25" t="s">
        <v>152</v>
      </c>
      <c r="M1" s="25" t="s">
        <v>167</v>
      </c>
      <c r="N1" s="25" t="s">
        <v>96</v>
      </c>
      <c r="O1" s="25" t="s">
        <v>403</v>
      </c>
      <c r="P1" s="25" t="s">
        <v>404</v>
      </c>
      <c r="Q1" s="25" t="s">
        <v>405</v>
      </c>
      <c r="R1" s="25" t="s">
        <v>406</v>
      </c>
      <c r="S1" s="25" t="s">
        <v>8</v>
      </c>
      <c r="T1" s="25" t="s">
        <v>181</v>
      </c>
      <c r="U1" s="26" t="s">
        <v>148</v>
      </c>
      <c r="V1" s="25" t="s">
        <v>400</v>
      </c>
      <c r="W1" s="27" t="s">
        <v>168</v>
      </c>
      <c r="X1" s="27" t="s">
        <v>169</v>
      </c>
      <c r="Y1" s="27" t="s">
        <v>170</v>
      </c>
      <c r="Z1" s="27" t="s">
        <v>171</v>
      </c>
      <c r="AA1" s="27" t="s">
        <v>172</v>
      </c>
      <c r="AB1" s="27" t="s">
        <v>173</v>
      </c>
      <c r="AC1" s="27" t="s">
        <v>206</v>
      </c>
      <c r="AD1" s="25" t="s">
        <v>69</v>
      </c>
    </row>
    <row r="2" spans="1:30" ht="60" x14ac:dyDescent="0.25">
      <c r="A2" s="31" t="s">
        <v>441</v>
      </c>
      <c r="B2" s="31" t="s">
        <v>0</v>
      </c>
      <c r="C2" s="31">
        <v>1</v>
      </c>
      <c r="D2" s="2" t="s">
        <v>24</v>
      </c>
      <c r="E2" s="2" t="s">
        <v>25</v>
      </c>
      <c r="F2" s="2" t="s">
        <v>252</v>
      </c>
      <c r="G2" s="5" t="s">
        <v>301</v>
      </c>
      <c r="H2" s="5" t="s">
        <v>189</v>
      </c>
      <c r="I2" s="5" t="s">
        <v>68</v>
      </c>
      <c r="J2" s="2" t="s">
        <v>435</v>
      </c>
      <c r="K2" s="17" t="s">
        <v>101</v>
      </c>
      <c r="L2" s="2">
        <v>4.95</v>
      </c>
      <c r="M2" s="2"/>
      <c r="N2" s="2"/>
      <c r="O2" s="2">
        <f>(($S2-$L2)/21*6)+$L2</f>
        <v>4.71</v>
      </c>
      <c r="P2" s="2">
        <f>(($S2-$L2)/21*10)+$L2</f>
        <v>4.5500000000000007</v>
      </c>
      <c r="Q2" s="2">
        <f>(($S2-$L2)/21*14)+$L2</f>
        <v>4.3900000000000006</v>
      </c>
      <c r="R2" s="4">
        <f>(($S2-$L2)/21*18)+$L2</f>
        <v>4.2300000000000004</v>
      </c>
      <c r="S2" s="4">
        <v>4.1100000000000003</v>
      </c>
      <c r="T2" s="46" t="s">
        <v>384</v>
      </c>
      <c r="U2" s="2" t="s">
        <v>149</v>
      </c>
      <c r="V2" t="s">
        <v>351</v>
      </c>
      <c r="W2" t="s">
        <v>184</v>
      </c>
      <c r="X2" t="s">
        <v>184</v>
      </c>
      <c r="Y2" t="s">
        <v>184</v>
      </c>
      <c r="AA2" t="s">
        <v>249</v>
      </c>
      <c r="AC2" t="s">
        <v>249</v>
      </c>
      <c r="AD2" s="2" t="s">
        <v>70</v>
      </c>
    </row>
    <row r="3" spans="1:30" ht="45" hidden="1" x14ac:dyDescent="0.25">
      <c r="A3" s="31"/>
      <c r="B3" s="31" t="s">
        <v>0</v>
      </c>
      <c r="C3" s="31">
        <v>1</v>
      </c>
      <c r="D3" s="2" t="s">
        <v>24</v>
      </c>
      <c r="E3" s="2" t="s">
        <v>25</v>
      </c>
      <c r="F3" s="2" t="s">
        <v>252</v>
      </c>
      <c r="G3" s="5" t="s">
        <v>223</v>
      </c>
      <c r="H3" s="5" t="s">
        <v>222</v>
      </c>
      <c r="I3" s="5" t="s">
        <v>67</v>
      </c>
      <c r="J3" s="2" t="s">
        <v>21</v>
      </c>
      <c r="K3" s="2"/>
      <c r="L3" s="2"/>
      <c r="M3" s="2"/>
      <c r="N3" s="2"/>
      <c r="O3" s="2"/>
      <c r="P3" s="2"/>
      <c r="Q3" s="2"/>
      <c r="R3" s="4"/>
      <c r="S3" s="4"/>
      <c r="T3" s="2"/>
      <c r="U3" s="2" t="s">
        <v>103</v>
      </c>
      <c r="W3" t="s">
        <v>184</v>
      </c>
      <c r="X3" t="s">
        <v>184</v>
      </c>
      <c r="Y3" t="s">
        <v>184</v>
      </c>
      <c r="AA3" t="s">
        <v>249</v>
      </c>
      <c r="AC3" t="s">
        <v>249</v>
      </c>
      <c r="AD3" s="2" t="s">
        <v>70</v>
      </c>
    </row>
    <row r="4" spans="1:30" ht="45" hidden="1" x14ac:dyDescent="0.25">
      <c r="A4" s="31"/>
      <c r="B4" s="31" t="s">
        <v>0</v>
      </c>
      <c r="C4" s="31">
        <v>1</v>
      </c>
      <c r="D4" s="2" t="s">
        <v>24</v>
      </c>
      <c r="E4" s="2" t="s">
        <v>25</v>
      </c>
      <c r="F4" s="2" t="s">
        <v>252</v>
      </c>
      <c r="G4" s="5" t="s">
        <v>302</v>
      </c>
      <c r="H4" s="5" t="s">
        <v>104</v>
      </c>
      <c r="I4" s="5"/>
      <c r="J4" s="2" t="s">
        <v>21</v>
      </c>
      <c r="K4" s="2">
        <v>2016</v>
      </c>
      <c r="L4" s="2">
        <v>430</v>
      </c>
      <c r="M4" s="2"/>
      <c r="N4" s="2"/>
      <c r="O4" s="2"/>
      <c r="P4" s="2"/>
      <c r="Q4" s="2"/>
      <c r="R4" s="4"/>
      <c r="S4" s="4"/>
      <c r="T4" s="2"/>
      <c r="U4" s="2" t="s">
        <v>150</v>
      </c>
      <c r="W4" t="s">
        <v>184</v>
      </c>
      <c r="X4" t="s">
        <v>184</v>
      </c>
      <c r="Y4" t="s">
        <v>184</v>
      </c>
      <c r="AA4" t="s">
        <v>244</v>
      </c>
      <c r="AC4" t="s">
        <v>249</v>
      </c>
      <c r="AD4" s="2" t="s">
        <v>71</v>
      </c>
    </row>
    <row r="5" spans="1:30" ht="60" hidden="1" x14ac:dyDescent="0.25">
      <c r="A5" s="31"/>
      <c r="B5" s="31" t="s">
        <v>0</v>
      </c>
      <c r="C5" s="31">
        <v>1</v>
      </c>
      <c r="D5" s="2" t="s">
        <v>24</v>
      </c>
      <c r="E5" s="2" t="s">
        <v>25</v>
      </c>
      <c r="F5" s="2" t="s">
        <v>252</v>
      </c>
      <c r="G5" s="5" t="s">
        <v>105</v>
      </c>
      <c r="H5" s="5" t="s">
        <v>190</v>
      </c>
      <c r="I5" s="5" t="s">
        <v>65</v>
      </c>
      <c r="J5" s="2" t="s">
        <v>72</v>
      </c>
      <c r="K5" s="2"/>
      <c r="L5" s="2"/>
      <c r="M5" s="2"/>
      <c r="N5" s="2"/>
      <c r="O5" s="2"/>
      <c r="P5" s="2"/>
      <c r="Q5" s="2"/>
      <c r="R5" s="4"/>
      <c r="S5" s="4"/>
      <c r="T5" s="2"/>
      <c r="U5" s="2" t="s">
        <v>103</v>
      </c>
      <c r="W5" s="3"/>
      <c r="X5" s="3"/>
      <c r="Y5" s="3"/>
      <c r="Z5" s="3"/>
      <c r="AA5" s="3" t="s">
        <v>246</v>
      </c>
      <c r="AB5" s="3"/>
      <c r="AC5" s="3" t="s">
        <v>246</v>
      </c>
      <c r="AD5" s="2" t="s">
        <v>71</v>
      </c>
    </row>
    <row r="6" spans="1:30" ht="45" hidden="1" x14ac:dyDescent="0.25">
      <c r="A6" s="31"/>
      <c r="B6" s="31" t="s">
        <v>0</v>
      </c>
      <c r="C6" s="31">
        <v>1</v>
      </c>
      <c r="D6" s="2" t="s">
        <v>24</v>
      </c>
      <c r="E6" s="2" t="s">
        <v>25</v>
      </c>
      <c r="F6" s="2" t="s">
        <v>252</v>
      </c>
      <c r="G6" s="5" t="s">
        <v>265</v>
      </c>
      <c r="H6" s="20" t="s">
        <v>218</v>
      </c>
      <c r="I6" s="5" t="s">
        <v>35</v>
      </c>
      <c r="J6" s="2" t="s">
        <v>13</v>
      </c>
      <c r="K6" s="2">
        <v>2018</v>
      </c>
      <c r="L6" s="18">
        <v>0.85199999999999998</v>
      </c>
      <c r="M6" s="2">
        <v>2019</v>
      </c>
      <c r="N6" s="18">
        <v>0.89100000000000001</v>
      </c>
      <c r="O6" s="18"/>
      <c r="P6" s="18"/>
      <c r="Q6" s="18"/>
      <c r="R6" s="4"/>
      <c r="S6" s="4"/>
      <c r="T6" s="2"/>
      <c r="U6" s="2" t="s">
        <v>150</v>
      </c>
      <c r="W6" t="s">
        <v>184</v>
      </c>
      <c r="X6" t="s">
        <v>184</v>
      </c>
      <c r="Y6" t="s">
        <v>207</v>
      </c>
      <c r="AA6" t="s">
        <v>249</v>
      </c>
      <c r="AC6" t="s">
        <v>246</v>
      </c>
      <c r="AD6" s="2" t="s">
        <v>71</v>
      </c>
    </row>
    <row r="7" spans="1:30" ht="45" x14ac:dyDescent="0.25">
      <c r="A7" s="31" t="s">
        <v>443</v>
      </c>
      <c r="B7" s="31" t="s">
        <v>0</v>
      </c>
      <c r="C7" s="31">
        <v>1</v>
      </c>
      <c r="D7" s="2" t="s">
        <v>24</v>
      </c>
      <c r="E7" s="2" t="s">
        <v>25</v>
      </c>
      <c r="F7" s="2" t="s">
        <v>252</v>
      </c>
      <c r="G7" s="5" t="s">
        <v>266</v>
      </c>
      <c r="H7" s="5" t="s">
        <v>497</v>
      </c>
      <c r="I7" s="5" t="s">
        <v>35</v>
      </c>
      <c r="J7" s="2" t="s">
        <v>13</v>
      </c>
      <c r="K7" s="2">
        <v>2018</v>
      </c>
      <c r="L7" s="18">
        <v>0.68400000000000005</v>
      </c>
      <c r="M7" s="13">
        <v>2019</v>
      </c>
      <c r="N7" s="18">
        <v>0.67200000000000004</v>
      </c>
      <c r="O7" s="18">
        <f>(($S7-$L7)/21*6)+$L7</f>
        <v>0.71714285714285719</v>
      </c>
      <c r="P7" s="18">
        <f>(($S7-$L7)/21*10)+$L7</f>
        <v>0.73923809523809525</v>
      </c>
      <c r="Q7" s="18">
        <f>(($S7-$L7)/21*14)+$L7</f>
        <v>0.76133333333333342</v>
      </c>
      <c r="R7" s="48">
        <f>(($S7-$L7)/21*18)+$L7</f>
        <v>0.78342857142857147</v>
      </c>
      <c r="S7" s="48">
        <v>0.8</v>
      </c>
      <c r="T7" s="46" t="s">
        <v>377</v>
      </c>
      <c r="U7" s="2" t="s">
        <v>149</v>
      </c>
      <c r="V7" t="s">
        <v>351</v>
      </c>
      <c r="W7" t="s">
        <v>184</v>
      </c>
      <c r="X7" t="s">
        <v>184</v>
      </c>
      <c r="Y7" t="s">
        <v>184</v>
      </c>
      <c r="AA7" t="s">
        <v>246</v>
      </c>
      <c r="AC7" t="s">
        <v>246</v>
      </c>
      <c r="AD7" s="2"/>
    </row>
    <row r="8" spans="1:30" ht="75" hidden="1" x14ac:dyDescent="0.25">
      <c r="A8" s="31"/>
      <c r="B8" s="31" t="s">
        <v>0</v>
      </c>
      <c r="C8" s="31">
        <v>1</v>
      </c>
      <c r="D8" s="2" t="s">
        <v>24</v>
      </c>
      <c r="E8" s="2" t="s">
        <v>25</v>
      </c>
      <c r="F8" s="2" t="s">
        <v>252</v>
      </c>
      <c r="G8" s="5" t="s">
        <v>255</v>
      </c>
      <c r="H8" s="8" t="s">
        <v>497</v>
      </c>
      <c r="I8" s="5" t="s">
        <v>35</v>
      </c>
      <c r="J8" s="2" t="s">
        <v>15</v>
      </c>
      <c r="K8" s="2">
        <v>2018</v>
      </c>
      <c r="L8" s="2">
        <v>10</v>
      </c>
      <c r="M8" s="2"/>
      <c r="N8" s="2"/>
      <c r="O8" s="2"/>
      <c r="P8" s="2"/>
      <c r="Q8" s="2"/>
      <c r="R8" s="4"/>
      <c r="S8" s="4"/>
      <c r="T8" s="2"/>
      <c r="U8" s="2" t="s">
        <v>150</v>
      </c>
      <c r="W8" t="s">
        <v>184</v>
      </c>
      <c r="X8" t="s">
        <v>184</v>
      </c>
      <c r="AA8" t="s">
        <v>246</v>
      </c>
      <c r="AC8" t="s">
        <v>246</v>
      </c>
      <c r="AD8" s="2"/>
    </row>
    <row r="9" spans="1:30" ht="45" x14ac:dyDescent="0.25">
      <c r="A9" s="31" t="s">
        <v>442</v>
      </c>
      <c r="B9" s="31" t="s">
        <v>0</v>
      </c>
      <c r="C9" s="31">
        <v>1</v>
      </c>
      <c r="D9" s="2" t="s">
        <v>24</v>
      </c>
      <c r="E9" s="2" t="s">
        <v>25</v>
      </c>
      <c r="F9" s="2" t="s">
        <v>252</v>
      </c>
      <c r="G9" s="5" t="s">
        <v>408</v>
      </c>
      <c r="H9" s="5" t="s">
        <v>498</v>
      </c>
      <c r="I9" s="5" t="s">
        <v>35</v>
      </c>
      <c r="J9" s="2" t="s">
        <v>13</v>
      </c>
      <c r="K9" s="2">
        <v>2018</v>
      </c>
      <c r="L9" s="18">
        <v>0.63</v>
      </c>
      <c r="M9" s="2">
        <v>2019</v>
      </c>
      <c r="N9" s="18">
        <v>0.60699999999999998</v>
      </c>
      <c r="O9" s="18">
        <f>(($S9-$L9)/21*6)+$L9</f>
        <v>0.70714285714285718</v>
      </c>
      <c r="P9" s="18">
        <f>(($S9-$L9)/21*10)+$L9</f>
        <v>0.75857142857142856</v>
      </c>
      <c r="Q9" s="18">
        <f>(($S9-$L9)/21*14)+$L9</f>
        <v>0.81</v>
      </c>
      <c r="R9" s="48">
        <f>(($S9-$L9)/21*18)+$L9</f>
        <v>0.86142857142857143</v>
      </c>
      <c r="S9" s="48">
        <v>0.9</v>
      </c>
      <c r="T9" s="46" t="s">
        <v>377</v>
      </c>
      <c r="U9" s="2" t="s">
        <v>149</v>
      </c>
      <c r="V9" t="s">
        <v>351</v>
      </c>
      <c r="W9" t="s">
        <v>184</v>
      </c>
      <c r="X9" t="s">
        <v>184</v>
      </c>
      <c r="Y9" t="s">
        <v>184</v>
      </c>
      <c r="AA9" t="s">
        <v>246</v>
      </c>
      <c r="AC9" t="s">
        <v>246</v>
      </c>
      <c r="AD9" s="2" t="s">
        <v>70</v>
      </c>
    </row>
    <row r="10" spans="1:30" ht="90" hidden="1" x14ac:dyDescent="0.25">
      <c r="A10" s="31"/>
      <c r="B10" s="31" t="s">
        <v>0</v>
      </c>
      <c r="C10" s="31">
        <v>2</v>
      </c>
      <c r="D10" s="2" t="s">
        <v>26</v>
      </c>
      <c r="E10" s="2" t="s">
        <v>27</v>
      </c>
      <c r="F10" s="2" t="s">
        <v>324</v>
      </c>
      <c r="G10" s="6" t="s">
        <v>191</v>
      </c>
      <c r="H10" s="6" t="s">
        <v>293</v>
      </c>
      <c r="I10" s="5" t="s">
        <v>35</v>
      </c>
      <c r="J10" s="2" t="s">
        <v>13</v>
      </c>
      <c r="K10" s="3">
        <v>2018</v>
      </c>
      <c r="L10" s="2">
        <v>60</v>
      </c>
      <c r="M10" s="2">
        <v>2019</v>
      </c>
      <c r="N10" s="2">
        <v>58</v>
      </c>
      <c r="O10" s="2"/>
      <c r="P10" s="2"/>
      <c r="Q10" s="2"/>
      <c r="R10" s="4"/>
      <c r="S10" s="4"/>
      <c r="T10" s="2"/>
      <c r="U10" s="2" t="s">
        <v>150</v>
      </c>
      <c r="W10" t="s">
        <v>184</v>
      </c>
      <c r="X10" t="s">
        <v>184</v>
      </c>
      <c r="Y10" t="s">
        <v>184</v>
      </c>
      <c r="AA10" t="s">
        <v>246</v>
      </c>
      <c r="AC10" t="s">
        <v>244</v>
      </c>
      <c r="AD10" s="3"/>
    </row>
    <row r="11" spans="1:30" ht="150" x14ac:dyDescent="0.25">
      <c r="A11" s="31" t="s">
        <v>444</v>
      </c>
      <c r="B11" s="31" t="s">
        <v>0</v>
      </c>
      <c r="C11" s="31">
        <v>2</v>
      </c>
      <c r="D11" s="2" t="s">
        <v>26</v>
      </c>
      <c r="E11" s="2" t="s">
        <v>27</v>
      </c>
      <c r="F11" s="2" t="s">
        <v>324</v>
      </c>
      <c r="G11" s="6" t="s">
        <v>409</v>
      </c>
      <c r="H11" s="19" t="s">
        <v>243</v>
      </c>
      <c r="I11" s="5" t="s">
        <v>434</v>
      </c>
      <c r="J11" s="5" t="s">
        <v>433</v>
      </c>
      <c r="K11" s="10"/>
      <c r="L11" s="8"/>
      <c r="M11" s="8"/>
      <c r="N11" s="8"/>
      <c r="O11" s="18"/>
      <c r="P11" s="18"/>
      <c r="Q11" s="18"/>
      <c r="R11" s="4"/>
      <c r="S11" s="4"/>
      <c r="T11" s="43" t="s">
        <v>354</v>
      </c>
      <c r="U11" s="2" t="s">
        <v>149</v>
      </c>
      <c r="V11" t="s">
        <v>351</v>
      </c>
      <c r="W11" s="3"/>
      <c r="X11" s="3"/>
      <c r="Y11" s="3"/>
      <c r="Z11" s="3"/>
      <c r="AA11" s="3" t="s">
        <v>246</v>
      </c>
      <c r="AB11" s="3"/>
      <c r="AC11" s="3" t="s">
        <v>246</v>
      </c>
      <c r="AD11" s="3" t="s">
        <v>70</v>
      </c>
    </row>
    <row r="12" spans="1:30" ht="75" hidden="1" x14ac:dyDescent="0.25">
      <c r="A12" s="31"/>
      <c r="B12" s="31" t="s">
        <v>0</v>
      </c>
      <c r="C12" s="31">
        <v>2</v>
      </c>
      <c r="D12" s="2" t="s">
        <v>26</v>
      </c>
      <c r="E12" s="2" t="s">
        <v>27</v>
      </c>
      <c r="F12" s="2" t="s">
        <v>324</v>
      </c>
      <c r="G12" s="6" t="s">
        <v>224</v>
      </c>
      <c r="H12" s="6" t="s">
        <v>107</v>
      </c>
      <c r="I12" s="5" t="s">
        <v>67</v>
      </c>
      <c r="J12" s="2" t="s">
        <v>72</v>
      </c>
      <c r="K12" s="3" t="s">
        <v>106</v>
      </c>
      <c r="L12" s="2">
        <v>6.33</v>
      </c>
      <c r="M12" s="2" t="s">
        <v>358</v>
      </c>
      <c r="N12" s="2">
        <v>5.37</v>
      </c>
      <c r="O12" s="2"/>
      <c r="P12" s="2"/>
      <c r="Q12" s="2"/>
      <c r="R12" s="4"/>
      <c r="S12" s="4"/>
      <c r="T12" s="2"/>
      <c r="U12" s="2" t="s">
        <v>150</v>
      </c>
      <c r="W12" t="s">
        <v>184</v>
      </c>
      <c r="X12" t="s">
        <v>184</v>
      </c>
      <c r="Y12" t="s">
        <v>184</v>
      </c>
      <c r="AA12" t="s">
        <v>246</v>
      </c>
      <c r="AC12" t="s">
        <v>246</v>
      </c>
      <c r="AD12" s="3" t="s">
        <v>71</v>
      </c>
    </row>
    <row r="13" spans="1:30" ht="75" hidden="1" x14ac:dyDescent="0.25">
      <c r="A13" s="31"/>
      <c r="B13" s="31" t="s">
        <v>0</v>
      </c>
      <c r="C13" s="31">
        <v>2</v>
      </c>
      <c r="D13" s="2" t="s">
        <v>26</v>
      </c>
      <c r="E13" s="2" t="s">
        <v>27</v>
      </c>
      <c r="F13" s="2" t="s">
        <v>324</v>
      </c>
      <c r="G13" s="5" t="s">
        <v>225</v>
      </c>
      <c r="H13" s="8" t="s">
        <v>65</v>
      </c>
      <c r="I13" s="6" t="s">
        <v>64</v>
      </c>
      <c r="J13" s="2" t="s">
        <v>65</v>
      </c>
      <c r="K13" s="2"/>
      <c r="L13" s="2"/>
      <c r="M13" s="2"/>
      <c r="N13" s="2"/>
      <c r="O13" s="2"/>
      <c r="P13" s="2"/>
      <c r="Q13" s="2"/>
      <c r="R13" s="4"/>
      <c r="S13" s="4"/>
      <c r="T13" s="2"/>
      <c r="U13" s="2" t="s">
        <v>150</v>
      </c>
      <c r="W13" s="3"/>
      <c r="X13" s="3"/>
      <c r="Y13" s="3"/>
      <c r="Z13" s="3"/>
      <c r="AA13" s="3" t="s">
        <v>246</v>
      </c>
      <c r="AB13" s="3"/>
      <c r="AC13" s="3" t="s">
        <v>246</v>
      </c>
      <c r="AD13" s="2"/>
    </row>
    <row r="14" spans="1:30" ht="75" hidden="1" x14ac:dyDescent="0.25">
      <c r="A14" s="31"/>
      <c r="B14" s="31" t="s">
        <v>0</v>
      </c>
      <c r="C14" s="31">
        <v>2</v>
      </c>
      <c r="D14" s="2" t="s">
        <v>26</v>
      </c>
      <c r="E14" s="2" t="s">
        <v>27</v>
      </c>
      <c r="F14" s="2" t="s">
        <v>324</v>
      </c>
      <c r="G14" s="5" t="s">
        <v>300</v>
      </c>
      <c r="H14" s="8" t="s">
        <v>299</v>
      </c>
      <c r="I14" s="19" t="s">
        <v>64</v>
      </c>
      <c r="J14" s="8" t="s">
        <v>185</v>
      </c>
      <c r="K14" s="2"/>
      <c r="L14" s="2"/>
      <c r="M14" s="2"/>
      <c r="N14" s="2"/>
      <c r="O14" s="2"/>
      <c r="P14" s="2"/>
      <c r="Q14" s="2"/>
      <c r="R14" s="4"/>
      <c r="S14" s="4"/>
      <c r="T14" s="2"/>
      <c r="U14" s="2" t="s">
        <v>153</v>
      </c>
      <c r="W14" s="3"/>
      <c r="X14" s="3"/>
      <c r="Y14" s="3"/>
      <c r="Z14" s="3"/>
      <c r="AA14" s="3" t="s">
        <v>244</v>
      </c>
      <c r="AB14" s="3"/>
      <c r="AC14" s="3" t="s">
        <v>244</v>
      </c>
      <c r="AD14" s="2"/>
    </row>
    <row r="15" spans="1:30" ht="75" x14ac:dyDescent="0.25">
      <c r="A15" s="31" t="s">
        <v>445</v>
      </c>
      <c r="B15" s="31" t="s">
        <v>0</v>
      </c>
      <c r="C15" s="31">
        <v>3</v>
      </c>
      <c r="D15" s="2" t="s">
        <v>28</v>
      </c>
      <c r="E15" s="2" t="s">
        <v>29</v>
      </c>
      <c r="F15" s="2" t="s">
        <v>93</v>
      </c>
      <c r="G15" s="5" t="s">
        <v>410</v>
      </c>
      <c r="H15" s="5" t="s">
        <v>267</v>
      </c>
      <c r="I15" s="5" t="s">
        <v>64</v>
      </c>
      <c r="J15" s="4" t="s">
        <v>73</v>
      </c>
      <c r="K15" s="2">
        <v>2018</v>
      </c>
      <c r="L15" s="18">
        <v>0.48499999999999999</v>
      </c>
      <c r="M15" s="2">
        <v>2019</v>
      </c>
      <c r="N15" s="21">
        <v>0.45600000000000002</v>
      </c>
      <c r="O15" s="18">
        <f>(($S15-$L15)/21*6)+$L15</f>
        <v>0.57499999999999996</v>
      </c>
      <c r="P15" s="18">
        <f>(($S15-$L15)/21*10)+$L15</f>
        <v>0.63500000000000001</v>
      </c>
      <c r="Q15" s="18">
        <f>(($S15-$L15)/21*14)+$L15</f>
        <v>0.69500000000000006</v>
      </c>
      <c r="R15" s="48">
        <f>(($S15-$L15)/21*18)+$L15</f>
        <v>0.75500000000000012</v>
      </c>
      <c r="S15" s="48">
        <v>0.8</v>
      </c>
      <c r="T15" s="46" t="s">
        <v>377</v>
      </c>
      <c r="U15" s="2" t="s">
        <v>149</v>
      </c>
      <c r="V15" t="s">
        <v>351</v>
      </c>
      <c r="W15" t="s">
        <v>184</v>
      </c>
      <c r="X15" t="s">
        <v>184</v>
      </c>
      <c r="Y15" t="s">
        <v>184</v>
      </c>
      <c r="AA15" s="3" t="s">
        <v>244</v>
      </c>
      <c r="AC15" s="3" t="s">
        <v>244</v>
      </c>
      <c r="AD15" s="2" t="s">
        <v>70</v>
      </c>
    </row>
    <row r="16" spans="1:30" ht="75" hidden="1" x14ac:dyDescent="0.25">
      <c r="A16" s="31"/>
      <c r="B16" s="31" t="s">
        <v>0</v>
      </c>
      <c r="C16" s="31">
        <v>3</v>
      </c>
      <c r="D16" s="2" t="s">
        <v>28</v>
      </c>
      <c r="E16" s="2" t="s">
        <v>29</v>
      </c>
      <c r="F16" s="2" t="s">
        <v>93</v>
      </c>
      <c r="G16" s="28" t="s">
        <v>264</v>
      </c>
      <c r="H16" s="28" t="s">
        <v>235</v>
      </c>
      <c r="I16" s="5" t="s">
        <v>64</v>
      </c>
      <c r="J16" s="2" t="s">
        <v>13</v>
      </c>
      <c r="K16" s="2"/>
      <c r="L16" s="2"/>
      <c r="M16" s="2"/>
      <c r="N16" s="2"/>
      <c r="O16" s="18"/>
      <c r="P16" s="18"/>
      <c r="Q16" s="18"/>
      <c r="R16" s="4"/>
      <c r="S16" s="4"/>
      <c r="T16" s="2"/>
      <c r="U16" s="2" t="s">
        <v>150</v>
      </c>
      <c r="W16" s="3"/>
      <c r="X16" s="3"/>
      <c r="Y16" s="3"/>
      <c r="Z16" s="3"/>
      <c r="AA16" s="3" t="s">
        <v>244</v>
      </c>
      <c r="AB16" s="3"/>
      <c r="AC16" s="3" t="s">
        <v>244</v>
      </c>
      <c r="AD16" s="2"/>
    </row>
    <row r="17" spans="1:30" ht="75" hidden="1" x14ac:dyDescent="0.25">
      <c r="A17" s="31"/>
      <c r="B17" s="31" t="s">
        <v>0</v>
      </c>
      <c r="C17" s="31">
        <v>3</v>
      </c>
      <c r="D17" s="2" t="s">
        <v>28</v>
      </c>
      <c r="E17" s="2" t="s">
        <v>29</v>
      </c>
      <c r="F17" s="2" t="s">
        <v>93</v>
      </c>
      <c r="G17" s="5" t="s">
        <v>226</v>
      </c>
      <c r="H17" s="5" t="s">
        <v>208</v>
      </c>
      <c r="I17" s="5" t="s">
        <v>64</v>
      </c>
      <c r="J17" s="2" t="s">
        <v>188</v>
      </c>
      <c r="K17" s="2">
        <v>2014</v>
      </c>
      <c r="L17" s="2">
        <v>8.1</v>
      </c>
      <c r="M17" s="2"/>
      <c r="N17" s="2"/>
      <c r="O17" s="18"/>
      <c r="P17" s="18"/>
      <c r="Q17" s="18"/>
      <c r="R17" s="4"/>
      <c r="S17" s="4"/>
      <c r="T17" s="2"/>
      <c r="U17" s="2" t="s">
        <v>150</v>
      </c>
      <c r="W17" t="s">
        <v>184</v>
      </c>
      <c r="X17" t="s">
        <v>184</v>
      </c>
      <c r="Y17" t="s">
        <v>184</v>
      </c>
      <c r="AA17" s="3" t="s">
        <v>244</v>
      </c>
      <c r="AC17" s="3" t="s">
        <v>244</v>
      </c>
      <c r="AD17" s="2"/>
    </row>
    <row r="18" spans="1:30" ht="75" x14ac:dyDescent="0.25">
      <c r="A18" s="31" t="s">
        <v>446</v>
      </c>
      <c r="B18" s="31" t="s">
        <v>0</v>
      </c>
      <c r="C18" s="31">
        <v>3</v>
      </c>
      <c r="D18" s="2" t="s">
        <v>28</v>
      </c>
      <c r="E18" s="2" t="s">
        <v>29</v>
      </c>
      <c r="F18" s="2" t="s">
        <v>93</v>
      </c>
      <c r="G18" s="5" t="s">
        <v>263</v>
      </c>
      <c r="H18" s="5" t="s">
        <v>112</v>
      </c>
      <c r="I18" s="5" t="s">
        <v>68</v>
      </c>
      <c r="J18" s="2" t="s">
        <v>12</v>
      </c>
      <c r="K18" s="2">
        <v>2017</v>
      </c>
      <c r="L18" s="18">
        <v>0.57699999999999996</v>
      </c>
      <c r="M18" s="2"/>
      <c r="N18" s="2"/>
      <c r="O18" s="18">
        <f>(($S18-$L18)/21*6)+$L18</f>
        <v>0.5832857142857143</v>
      </c>
      <c r="P18" s="18">
        <f>(($S18-$L18)/21*10)+$L18</f>
        <v>0.58747619047619049</v>
      </c>
      <c r="Q18" s="18">
        <f>(($S18-$L18)/21*14)+$L18</f>
        <v>0.59166666666666667</v>
      </c>
      <c r="R18" s="50">
        <f>(($S18-$L18)/21*18)+$L18</f>
        <v>0.59585714285714286</v>
      </c>
      <c r="S18" s="50">
        <v>0.59899999999999998</v>
      </c>
      <c r="T18" s="46" t="s">
        <v>428</v>
      </c>
      <c r="U18" s="2" t="s">
        <v>149</v>
      </c>
      <c r="V18" t="s">
        <v>351</v>
      </c>
      <c r="W18" t="s">
        <v>184</v>
      </c>
      <c r="X18" t="s">
        <v>184</v>
      </c>
      <c r="Y18" t="s">
        <v>184</v>
      </c>
      <c r="Z18" t="s">
        <v>184</v>
      </c>
      <c r="AA18" s="3" t="s">
        <v>244</v>
      </c>
      <c r="AC18" s="3" t="s">
        <v>244</v>
      </c>
      <c r="AD18" s="2" t="s">
        <v>71</v>
      </c>
    </row>
    <row r="19" spans="1:30" ht="75" x14ac:dyDescent="0.25">
      <c r="A19" s="31" t="s">
        <v>449</v>
      </c>
      <c r="B19" s="31" t="s">
        <v>0</v>
      </c>
      <c r="C19" s="31">
        <v>3</v>
      </c>
      <c r="D19" s="2" t="s">
        <v>28</v>
      </c>
      <c r="E19" s="2" t="s">
        <v>29</v>
      </c>
      <c r="F19" s="2" t="s">
        <v>93</v>
      </c>
      <c r="G19" s="5" t="s">
        <v>261</v>
      </c>
      <c r="H19" s="5" t="s">
        <v>108</v>
      </c>
      <c r="I19" s="5" t="s">
        <v>68</v>
      </c>
      <c r="J19" s="2" t="s">
        <v>12</v>
      </c>
      <c r="K19" s="3">
        <v>2017</v>
      </c>
      <c r="L19" s="18">
        <v>0.125</v>
      </c>
      <c r="M19" s="2"/>
      <c r="N19" s="2"/>
      <c r="O19" s="18">
        <f t="shared" ref="O19:O20" si="0">(($S19-$L19)/21*6)+$L19</f>
        <v>0.11457142857142857</v>
      </c>
      <c r="P19" s="18">
        <f t="shared" ref="P19:P20" si="1">(($S19-$L19)/21*10)+$L19</f>
        <v>0.10761904761904761</v>
      </c>
      <c r="Q19" s="18">
        <f t="shared" ref="Q19:Q20" si="2">(($S19-$L19)/21*14)+$L19</f>
        <v>0.10066666666666667</v>
      </c>
      <c r="R19" s="51">
        <f t="shared" ref="R19:R20" si="3">(($S19-$L19)/21*18)+$L19</f>
        <v>9.3714285714285708E-2</v>
      </c>
      <c r="S19" s="51">
        <v>8.8499999999999995E-2</v>
      </c>
      <c r="T19" s="46" t="s">
        <v>393</v>
      </c>
      <c r="U19" s="2" t="s">
        <v>149</v>
      </c>
      <c r="V19" t="s">
        <v>401</v>
      </c>
      <c r="W19" t="s">
        <v>184</v>
      </c>
      <c r="X19" t="s">
        <v>184</v>
      </c>
      <c r="Y19" t="s">
        <v>184</v>
      </c>
      <c r="AA19" s="3" t="s">
        <v>244</v>
      </c>
      <c r="AC19" s="3" t="s">
        <v>244</v>
      </c>
      <c r="AD19" s="3" t="s">
        <v>70</v>
      </c>
    </row>
    <row r="20" spans="1:30" ht="120" x14ac:dyDescent="0.25">
      <c r="A20" s="31" t="s">
        <v>490</v>
      </c>
      <c r="B20" s="31" t="s">
        <v>0</v>
      </c>
      <c r="C20" s="31">
        <v>3</v>
      </c>
      <c r="D20" s="2" t="s">
        <v>28</v>
      </c>
      <c r="E20" s="2" t="s">
        <v>29</v>
      </c>
      <c r="F20" s="2" t="s">
        <v>93</v>
      </c>
      <c r="G20" s="5" t="s">
        <v>320</v>
      </c>
      <c r="H20" s="5" t="s">
        <v>262</v>
      </c>
      <c r="I20" s="5" t="s">
        <v>68</v>
      </c>
      <c r="J20" s="2" t="s">
        <v>13</v>
      </c>
      <c r="K20" s="2">
        <v>2018</v>
      </c>
      <c r="L20" s="18">
        <v>0.628</v>
      </c>
      <c r="M20" s="2">
        <v>2019</v>
      </c>
      <c r="N20" s="21">
        <v>0.67</v>
      </c>
      <c r="O20" s="18">
        <f t="shared" si="0"/>
        <v>0.67714285714285716</v>
      </c>
      <c r="P20" s="18">
        <f t="shared" si="1"/>
        <v>0.70990476190476193</v>
      </c>
      <c r="Q20" s="18">
        <f t="shared" si="2"/>
        <v>0.7426666666666667</v>
      </c>
      <c r="R20" s="48">
        <f t="shared" si="3"/>
        <v>0.77542857142857147</v>
      </c>
      <c r="S20" s="48">
        <v>0.8</v>
      </c>
      <c r="T20" s="46" t="s">
        <v>427</v>
      </c>
      <c r="U20" s="2" t="s">
        <v>149</v>
      </c>
      <c r="V20" t="s">
        <v>351</v>
      </c>
      <c r="W20" t="s">
        <v>184</v>
      </c>
      <c r="X20" t="s">
        <v>184</v>
      </c>
      <c r="Y20" t="s">
        <v>184</v>
      </c>
      <c r="AA20" s="3" t="s">
        <v>246</v>
      </c>
      <c r="AC20" s="3" t="s">
        <v>244</v>
      </c>
      <c r="AD20" s="2" t="s">
        <v>70</v>
      </c>
    </row>
    <row r="21" spans="1:30" ht="75" hidden="1" x14ac:dyDescent="0.25">
      <c r="A21" s="31"/>
      <c r="B21" s="31" t="s">
        <v>0</v>
      </c>
      <c r="C21" s="31">
        <v>3</v>
      </c>
      <c r="D21" s="2" t="s">
        <v>28</v>
      </c>
      <c r="E21" s="2" t="s">
        <v>29</v>
      </c>
      <c r="F21" s="2" t="s">
        <v>93</v>
      </c>
      <c r="G21" s="5" t="s">
        <v>260</v>
      </c>
      <c r="H21" s="5" t="s">
        <v>109</v>
      </c>
      <c r="I21" s="5" t="s">
        <v>68</v>
      </c>
      <c r="J21" s="2" t="s">
        <v>13</v>
      </c>
      <c r="K21" s="2">
        <v>2018</v>
      </c>
      <c r="L21" s="18">
        <v>0.92100000000000004</v>
      </c>
      <c r="M21" s="2">
        <v>2019</v>
      </c>
      <c r="N21" s="21">
        <v>0.93100000000000005</v>
      </c>
      <c r="O21" s="18"/>
      <c r="P21" s="18"/>
      <c r="Q21" s="18"/>
      <c r="R21" s="4"/>
      <c r="S21" s="4"/>
      <c r="T21" s="2"/>
      <c r="U21" s="2" t="s">
        <v>150</v>
      </c>
      <c r="W21" t="s">
        <v>184</v>
      </c>
      <c r="X21" t="s">
        <v>184</v>
      </c>
      <c r="Y21" t="s">
        <v>184</v>
      </c>
      <c r="AA21" s="3" t="s">
        <v>246</v>
      </c>
      <c r="AC21" s="3" t="s">
        <v>244</v>
      </c>
      <c r="AD21" s="2" t="s">
        <v>70</v>
      </c>
    </row>
    <row r="22" spans="1:30" ht="75" hidden="1" x14ac:dyDescent="0.25">
      <c r="A22" s="31"/>
      <c r="B22" s="31" t="s">
        <v>0</v>
      </c>
      <c r="C22" s="31">
        <v>3</v>
      </c>
      <c r="D22" s="2" t="s">
        <v>28</v>
      </c>
      <c r="E22" s="2" t="s">
        <v>29</v>
      </c>
      <c r="F22" s="2" t="s">
        <v>93</v>
      </c>
      <c r="G22" s="5" t="s">
        <v>110</v>
      </c>
      <c r="H22" s="5" t="s">
        <v>111</v>
      </c>
      <c r="I22" s="5" t="s">
        <v>35</v>
      </c>
      <c r="J22" s="2" t="s">
        <v>14</v>
      </c>
      <c r="K22" s="2">
        <v>2018</v>
      </c>
      <c r="L22" s="2">
        <v>657.5</v>
      </c>
      <c r="M22" s="2"/>
      <c r="N22" s="2"/>
      <c r="O22" s="18"/>
      <c r="P22" s="18"/>
      <c r="Q22" s="18"/>
      <c r="R22" s="4"/>
      <c r="S22" s="4"/>
      <c r="T22" s="2"/>
      <c r="U22" s="2" t="s">
        <v>150</v>
      </c>
      <c r="W22" t="s">
        <v>184</v>
      </c>
      <c r="X22" t="s">
        <v>184</v>
      </c>
      <c r="Y22" t="s">
        <v>184</v>
      </c>
      <c r="AA22" s="3" t="s">
        <v>246</v>
      </c>
      <c r="AC22" s="3" t="s">
        <v>246</v>
      </c>
      <c r="AD22" s="2" t="s">
        <v>70</v>
      </c>
    </row>
    <row r="23" spans="1:30" ht="75" hidden="1" x14ac:dyDescent="0.25">
      <c r="A23" s="31"/>
      <c r="B23" s="31" t="s">
        <v>0</v>
      </c>
      <c r="C23" s="31">
        <v>3</v>
      </c>
      <c r="D23" s="2" t="s">
        <v>28</v>
      </c>
      <c r="E23" s="2" t="s">
        <v>29</v>
      </c>
      <c r="F23" s="2" t="s">
        <v>93</v>
      </c>
      <c r="G23" s="5" t="s">
        <v>259</v>
      </c>
      <c r="H23" s="5" t="s">
        <v>113</v>
      </c>
      <c r="I23" s="5" t="s">
        <v>68</v>
      </c>
      <c r="J23" s="2" t="s">
        <v>12</v>
      </c>
      <c r="K23" s="2">
        <v>2017</v>
      </c>
      <c r="L23" s="18">
        <v>0.64200000000000002</v>
      </c>
      <c r="M23" s="2"/>
      <c r="N23" s="2"/>
      <c r="O23" s="18"/>
      <c r="P23" s="18"/>
      <c r="Q23" s="18"/>
      <c r="R23" s="4"/>
      <c r="S23" s="56">
        <v>0.40200000000000002</v>
      </c>
      <c r="T23" s="46" t="s">
        <v>429</v>
      </c>
      <c r="U23" s="2" t="s">
        <v>150</v>
      </c>
      <c r="W23" t="s">
        <v>184</v>
      </c>
      <c r="X23" t="s">
        <v>184</v>
      </c>
      <c r="Y23" t="s">
        <v>184</v>
      </c>
      <c r="AA23" t="s">
        <v>244</v>
      </c>
      <c r="AC23" t="s">
        <v>244</v>
      </c>
      <c r="AD23" s="2" t="s">
        <v>70</v>
      </c>
    </row>
    <row r="24" spans="1:30" ht="75" hidden="1" x14ac:dyDescent="0.25">
      <c r="A24" s="31"/>
      <c r="B24" s="31" t="s">
        <v>0</v>
      </c>
      <c r="C24" s="31">
        <v>3</v>
      </c>
      <c r="D24" s="2" t="s">
        <v>28</v>
      </c>
      <c r="E24" s="2" t="s">
        <v>29</v>
      </c>
      <c r="F24" s="2" t="s">
        <v>93</v>
      </c>
      <c r="G24" s="5" t="s">
        <v>258</v>
      </c>
      <c r="H24" s="5" t="s">
        <v>114</v>
      </c>
      <c r="I24" s="5" t="s">
        <v>64</v>
      </c>
      <c r="J24" s="2" t="s">
        <v>12</v>
      </c>
      <c r="K24" s="2">
        <v>2017</v>
      </c>
      <c r="L24" s="18">
        <v>0.125</v>
      </c>
      <c r="M24" s="2"/>
      <c r="N24" s="2"/>
      <c r="O24" s="18"/>
      <c r="P24" s="18"/>
      <c r="Q24" s="18"/>
      <c r="R24" s="4"/>
      <c r="S24" s="56">
        <v>8.5999999999999993E-2</v>
      </c>
      <c r="T24" s="46" t="s">
        <v>430</v>
      </c>
      <c r="U24" s="2" t="s">
        <v>150</v>
      </c>
      <c r="W24" t="s">
        <v>184</v>
      </c>
      <c r="X24" t="s">
        <v>184</v>
      </c>
      <c r="Y24" t="s">
        <v>184</v>
      </c>
      <c r="AA24" t="s">
        <v>244</v>
      </c>
      <c r="AC24" t="s">
        <v>244</v>
      </c>
      <c r="AD24" s="2"/>
    </row>
    <row r="25" spans="1:30" ht="75" hidden="1" x14ac:dyDescent="0.25">
      <c r="A25" s="31"/>
      <c r="B25" s="31" t="s">
        <v>0</v>
      </c>
      <c r="C25" s="31">
        <v>3</v>
      </c>
      <c r="D25" s="2" t="s">
        <v>28</v>
      </c>
      <c r="E25" s="2" t="s">
        <v>29</v>
      </c>
      <c r="F25" s="2" t="s">
        <v>93</v>
      </c>
      <c r="G25" s="5" t="s">
        <v>257</v>
      </c>
      <c r="H25" s="5" t="s">
        <v>115</v>
      </c>
      <c r="I25" s="5" t="s">
        <v>35</v>
      </c>
      <c r="J25" s="2" t="s">
        <v>13</v>
      </c>
      <c r="K25" s="2">
        <v>2018</v>
      </c>
      <c r="L25" s="18">
        <v>0.16</v>
      </c>
      <c r="M25" s="2">
        <v>2019</v>
      </c>
      <c r="N25" s="18">
        <v>0.156</v>
      </c>
      <c r="O25" s="18"/>
      <c r="P25" s="18"/>
      <c r="Q25" s="18"/>
      <c r="R25" s="4"/>
      <c r="S25" s="4"/>
      <c r="T25" s="2"/>
      <c r="U25" s="2" t="s">
        <v>150</v>
      </c>
      <c r="W25" t="s">
        <v>184</v>
      </c>
      <c r="X25" t="s">
        <v>184</v>
      </c>
      <c r="Y25" t="s">
        <v>184</v>
      </c>
      <c r="AA25" t="s">
        <v>244</v>
      </c>
      <c r="AC25" t="s">
        <v>249</v>
      </c>
      <c r="AD25" s="2" t="s">
        <v>71</v>
      </c>
    </row>
    <row r="26" spans="1:30" ht="45" hidden="1" x14ac:dyDescent="0.25">
      <c r="A26" s="31"/>
      <c r="B26" s="31" t="s">
        <v>0</v>
      </c>
      <c r="C26" s="31">
        <v>3</v>
      </c>
      <c r="D26" s="2" t="s">
        <v>28</v>
      </c>
      <c r="E26" s="2" t="s">
        <v>30</v>
      </c>
      <c r="F26" s="2" t="s">
        <v>93</v>
      </c>
      <c r="G26" s="5" t="s">
        <v>256</v>
      </c>
      <c r="H26" s="5" t="s">
        <v>248</v>
      </c>
      <c r="I26" s="5" t="s">
        <v>35</v>
      </c>
      <c r="J26" s="2" t="s">
        <v>14</v>
      </c>
      <c r="K26" s="2">
        <v>2018</v>
      </c>
      <c r="L26" s="2">
        <v>826.3</v>
      </c>
      <c r="M26" s="2"/>
      <c r="N26" s="2"/>
      <c r="O26" s="18"/>
      <c r="P26" s="18"/>
      <c r="Q26" s="18"/>
      <c r="R26" s="4"/>
      <c r="S26" s="4"/>
      <c r="T26" s="2"/>
      <c r="U26" s="2" t="s">
        <v>150</v>
      </c>
      <c r="W26" t="s">
        <v>184</v>
      </c>
      <c r="X26" t="s">
        <v>184</v>
      </c>
      <c r="Y26" t="s">
        <v>184</v>
      </c>
      <c r="AA26" t="s">
        <v>244</v>
      </c>
      <c r="AC26" t="s">
        <v>244</v>
      </c>
      <c r="AD26" s="2" t="s">
        <v>71</v>
      </c>
    </row>
    <row r="27" spans="1:30" ht="75" hidden="1" x14ac:dyDescent="0.25">
      <c r="A27" s="31"/>
      <c r="B27" s="31" t="s">
        <v>0</v>
      </c>
      <c r="C27" s="31">
        <v>3</v>
      </c>
      <c r="D27" s="2" t="s">
        <v>28</v>
      </c>
      <c r="E27" s="2" t="s">
        <v>29</v>
      </c>
      <c r="F27" s="2" t="s">
        <v>93</v>
      </c>
      <c r="G27" s="5" t="s">
        <v>74</v>
      </c>
      <c r="H27" s="5" t="s">
        <v>74</v>
      </c>
      <c r="I27" s="5" t="s">
        <v>67</v>
      </c>
      <c r="J27" s="2" t="s">
        <v>72</v>
      </c>
      <c r="K27" s="2" t="s">
        <v>106</v>
      </c>
      <c r="L27" s="12">
        <v>0.92910000000000004</v>
      </c>
      <c r="M27" s="2" t="s">
        <v>358</v>
      </c>
      <c r="N27" s="12">
        <v>0.93269999999999997</v>
      </c>
      <c r="O27" s="18"/>
      <c r="P27" s="18"/>
      <c r="Q27" s="18"/>
      <c r="R27" s="4"/>
      <c r="S27" s="4"/>
      <c r="T27" s="2"/>
      <c r="U27" s="2" t="s">
        <v>150</v>
      </c>
      <c r="W27" t="s">
        <v>184</v>
      </c>
      <c r="X27" t="s">
        <v>70</v>
      </c>
      <c r="Y27" t="s">
        <v>70</v>
      </c>
      <c r="AA27" t="s">
        <v>244</v>
      </c>
      <c r="AC27" t="s">
        <v>246</v>
      </c>
      <c r="AD27" s="2" t="s">
        <v>70</v>
      </c>
    </row>
    <row r="28" spans="1:30" ht="75" hidden="1" x14ac:dyDescent="0.25">
      <c r="A28" s="31"/>
      <c r="B28" s="31" t="s">
        <v>0</v>
      </c>
      <c r="C28" s="31">
        <v>3</v>
      </c>
      <c r="D28" s="2" t="s">
        <v>28</v>
      </c>
      <c r="E28" s="2" t="s">
        <v>29</v>
      </c>
      <c r="F28" s="2" t="s">
        <v>93</v>
      </c>
      <c r="G28" s="5" t="s">
        <v>75</v>
      </c>
      <c r="H28" s="5" t="s">
        <v>75</v>
      </c>
      <c r="I28" s="5" t="s">
        <v>67</v>
      </c>
      <c r="J28" s="2" t="s">
        <v>72</v>
      </c>
      <c r="K28" s="2" t="s">
        <v>106</v>
      </c>
      <c r="L28" s="12">
        <v>1.0179</v>
      </c>
      <c r="M28" s="2" t="s">
        <v>358</v>
      </c>
      <c r="N28" s="12">
        <v>1.0190999999999999</v>
      </c>
      <c r="O28" s="18"/>
      <c r="P28" s="18"/>
      <c r="Q28" s="18"/>
      <c r="R28" s="4"/>
      <c r="S28" s="4"/>
      <c r="T28" s="2"/>
      <c r="U28" s="2" t="s">
        <v>150</v>
      </c>
      <c r="W28" t="s">
        <v>184</v>
      </c>
      <c r="X28" t="s">
        <v>70</v>
      </c>
      <c r="Y28" t="s">
        <v>70</v>
      </c>
      <c r="AA28" t="s">
        <v>244</v>
      </c>
      <c r="AC28" t="s">
        <v>246</v>
      </c>
      <c r="AD28" s="2" t="s">
        <v>70</v>
      </c>
    </row>
    <row r="29" spans="1:30" ht="75" hidden="1" x14ac:dyDescent="0.25">
      <c r="A29" s="31"/>
      <c r="B29" s="31" t="s">
        <v>0</v>
      </c>
      <c r="C29" s="31">
        <v>3</v>
      </c>
      <c r="D29" s="2" t="s">
        <v>28</v>
      </c>
      <c r="E29" s="2" t="s">
        <v>29</v>
      </c>
      <c r="F29" s="2" t="s">
        <v>93</v>
      </c>
      <c r="G29" s="5" t="s">
        <v>227</v>
      </c>
      <c r="H29" s="5" t="s">
        <v>76</v>
      </c>
      <c r="I29" s="5" t="s">
        <v>67</v>
      </c>
      <c r="J29" s="2" t="s">
        <v>72</v>
      </c>
      <c r="K29" s="2" t="s">
        <v>106</v>
      </c>
      <c r="L29" s="12">
        <v>0.80920000000000003</v>
      </c>
      <c r="M29" s="2" t="s">
        <v>358</v>
      </c>
      <c r="N29" s="12">
        <v>0.7923</v>
      </c>
      <c r="O29" s="18"/>
      <c r="P29" s="18"/>
      <c r="Q29" s="18"/>
      <c r="R29" s="4"/>
      <c r="S29" s="4"/>
      <c r="T29" s="2"/>
      <c r="U29" s="2" t="s">
        <v>150</v>
      </c>
      <c r="W29" t="s">
        <v>184</v>
      </c>
      <c r="X29" t="s">
        <v>70</v>
      </c>
      <c r="Y29" t="s">
        <v>70</v>
      </c>
      <c r="AA29" s="3" t="s">
        <v>246</v>
      </c>
      <c r="AC29" s="3" t="s">
        <v>246</v>
      </c>
      <c r="AD29" s="2" t="s">
        <v>70</v>
      </c>
    </row>
    <row r="30" spans="1:30" ht="75" hidden="1" x14ac:dyDescent="0.25">
      <c r="A30" s="31"/>
      <c r="B30" s="31" t="s">
        <v>0</v>
      </c>
      <c r="C30" s="31">
        <v>3</v>
      </c>
      <c r="D30" s="2" t="s">
        <v>28</v>
      </c>
      <c r="E30" s="2" t="s">
        <v>29</v>
      </c>
      <c r="F30" s="2" t="s">
        <v>93</v>
      </c>
      <c r="G30" s="5" t="s">
        <v>77</v>
      </c>
      <c r="H30" s="5" t="s">
        <v>77</v>
      </c>
      <c r="I30" s="5" t="s">
        <v>67</v>
      </c>
      <c r="J30" s="2" t="s">
        <v>72</v>
      </c>
      <c r="K30" s="2" t="s">
        <v>106</v>
      </c>
      <c r="L30" s="12">
        <v>0.85709999999999997</v>
      </c>
      <c r="M30" s="2" t="s">
        <v>358</v>
      </c>
      <c r="N30" s="12">
        <v>0.77049999999999996</v>
      </c>
      <c r="O30" s="18"/>
      <c r="P30" s="18"/>
      <c r="Q30" s="18"/>
      <c r="R30" s="4"/>
      <c r="S30" s="4"/>
      <c r="T30" s="2"/>
      <c r="U30" s="2" t="s">
        <v>150</v>
      </c>
      <c r="W30" t="s">
        <v>184</v>
      </c>
      <c r="X30" t="s">
        <v>70</v>
      </c>
      <c r="Y30" t="s">
        <v>70</v>
      </c>
      <c r="AA30" s="3" t="s">
        <v>246</v>
      </c>
      <c r="AC30" s="3" t="s">
        <v>249</v>
      </c>
      <c r="AD30" s="2" t="s">
        <v>70</v>
      </c>
    </row>
    <row r="31" spans="1:30" ht="105" hidden="1" x14ac:dyDescent="0.25">
      <c r="A31" s="31"/>
      <c r="B31" s="31" t="s">
        <v>0</v>
      </c>
      <c r="C31" s="31">
        <v>3</v>
      </c>
      <c r="D31" s="2" t="s">
        <v>28</v>
      </c>
      <c r="E31" s="2" t="s">
        <v>29</v>
      </c>
      <c r="F31" s="2" t="s">
        <v>93</v>
      </c>
      <c r="G31" s="5" t="s">
        <v>78</v>
      </c>
      <c r="H31" s="5" t="s">
        <v>219</v>
      </c>
      <c r="I31" s="5" t="s">
        <v>67</v>
      </c>
      <c r="J31" s="2" t="s">
        <v>221</v>
      </c>
      <c r="K31" s="2" t="s">
        <v>106</v>
      </c>
      <c r="L31" s="8"/>
      <c r="M31" s="2"/>
      <c r="N31" s="2"/>
      <c r="O31" s="18"/>
      <c r="P31" s="18"/>
      <c r="Q31" s="18"/>
      <c r="R31" s="4"/>
      <c r="S31" s="4" t="s">
        <v>180</v>
      </c>
      <c r="T31" s="43" t="s">
        <v>182</v>
      </c>
      <c r="U31" s="2" t="s">
        <v>150</v>
      </c>
      <c r="W31" s="3" t="s">
        <v>70</v>
      </c>
      <c r="X31" s="3" t="s">
        <v>70</v>
      </c>
      <c r="Y31" s="3" t="s">
        <v>70</v>
      </c>
      <c r="Z31" s="3" t="s">
        <v>184</v>
      </c>
      <c r="AA31" s="3" t="s">
        <v>246</v>
      </c>
      <c r="AB31" s="3"/>
      <c r="AC31" s="3" t="s">
        <v>246</v>
      </c>
      <c r="AD31" s="2" t="s">
        <v>70</v>
      </c>
    </row>
    <row r="32" spans="1:30" ht="75" hidden="1" x14ac:dyDescent="0.25">
      <c r="A32" s="31"/>
      <c r="B32" s="31" t="s">
        <v>0</v>
      </c>
      <c r="C32" s="31">
        <v>3</v>
      </c>
      <c r="D32" s="2" t="s">
        <v>28</v>
      </c>
      <c r="E32" s="2" t="s">
        <v>29</v>
      </c>
      <c r="F32" s="2" t="s">
        <v>93</v>
      </c>
      <c r="G32" s="5" t="s">
        <v>215</v>
      </c>
      <c r="H32" s="5" t="s">
        <v>220</v>
      </c>
      <c r="I32" s="5" t="s">
        <v>67</v>
      </c>
      <c r="J32" s="2" t="s">
        <v>216</v>
      </c>
      <c r="K32" s="2" t="s">
        <v>106</v>
      </c>
      <c r="L32" s="8"/>
      <c r="M32" s="2"/>
      <c r="N32" s="2"/>
      <c r="O32" s="18"/>
      <c r="P32" s="18"/>
      <c r="Q32" s="18"/>
      <c r="R32" s="4"/>
      <c r="S32" s="4"/>
      <c r="T32" s="2"/>
      <c r="U32" s="2" t="s">
        <v>150</v>
      </c>
      <c r="W32" s="3"/>
      <c r="X32" s="3"/>
      <c r="Y32" s="3"/>
      <c r="Z32" s="3"/>
      <c r="AA32" s="3" t="s">
        <v>246</v>
      </c>
      <c r="AB32" s="3"/>
      <c r="AC32" s="3" t="s">
        <v>246</v>
      </c>
      <c r="AD32" s="2" t="s">
        <v>70</v>
      </c>
    </row>
    <row r="33" spans="1:30" ht="75" x14ac:dyDescent="0.25">
      <c r="A33" s="31" t="s">
        <v>491</v>
      </c>
      <c r="B33" s="31" t="s">
        <v>0</v>
      </c>
      <c r="C33" s="31">
        <v>3</v>
      </c>
      <c r="D33" s="2" t="s">
        <v>28</v>
      </c>
      <c r="E33" s="2" t="s">
        <v>29</v>
      </c>
      <c r="F33" s="2" t="s">
        <v>93</v>
      </c>
      <c r="G33" s="5" t="s">
        <v>411</v>
      </c>
      <c r="H33" s="5" t="s">
        <v>407</v>
      </c>
      <c r="I33" s="5" t="s">
        <v>68</v>
      </c>
      <c r="J33" s="2" t="s">
        <v>17</v>
      </c>
      <c r="K33" s="2">
        <v>2018</v>
      </c>
      <c r="L33" s="21">
        <f xml:space="preserve"> 1 -14.9%</f>
        <v>0.85099999999999998</v>
      </c>
      <c r="M33" s="3"/>
      <c r="N33" s="3"/>
      <c r="O33" s="18">
        <f>(($S33-$L33)/21*6)+$L33</f>
        <v>0.86471428571428566</v>
      </c>
      <c r="P33" s="18">
        <f>(($S33-$L33)/21*10)+$L33</f>
        <v>0.87385714285714289</v>
      </c>
      <c r="Q33" s="18">
        <f>(($S33-$L33)/21*14)+$L33</f>
        <v>0.88300000000000001</v>
      </c>
      <c r="R33" s="48">
        <f>(($S33-$L33)/21*18)+$L33</f>
        <v>0.89214285714285713</v>
      </c>
      <c r="S33" s="48">
        <f xml:space="preserve"> 1 -10.1%</f>
        <v>0.89900000000000002</v>
      </c>
      <c r="T33" s="46" t="s">
        <v>391</v>
      </c>
      <c r="U33" s="2" t="s">
        <v>149</v>
      </c>
      <c r="V33" t="s">
        <v>351</v>
      </c>
      <c r="W33" t="s">
        <v>184</v>
      </c>
      <c r="X33" t="s">
        <v>184</v>
      </c>
      <c r="Y33" t="s">
        <v>184</v>
      </c>
      <c r="AA33" s="3" t="s">
        <v>246</v>
      </c>
      <c r="AC33" s="3" t="s">
        <v>246</v>
      </c>
      <c r="AD33" s="2" t="s">
        <v>70</v>
      </c>
    </row>
    <row r="34" spans="1:30" ht="75" hidden="1" x14ac:dyDescent="0.25">
      <c r="A34" s="31"/>
      <c r="B34" s="31" t="s">
        <v>0</v>
      </c>
      <c r="C34" s="31">
        <v>3</v>
      </c>
      <c r="D34" s="2" t="s">
        <v>28</v>
      </c>
      <c r="E34" s="2" t="s">
        <v>29</v>
      </c>
      <c r="F34" s="2" t="s">
        <v>93</v>
      </c>
      <c r="G34" s="5" t="s">
        <v>269</v>
      </c>
      <c r="H34" s="8" t="s">
        <v>268</v>
      </c>
      <c r="I34" s="5" t="s">
        <v>35</v>
      </c>
      <c r="J34" s="2" t="s">
        <v>15</v>
      </c>
      <c r="K34" s="2">
        <v>2018</v>
      </c>
      <c r="L34" s="2">
        <v>677</v>
      </c>
      <c r="M34" s="2">
        <v>2019</v>
      </c>
      <c r="N34" s="2">
        <v>628</v>
      </c>
      <c r="O34" s="18"/>
      <c r="P34" s="18"/>
      <c r="Q34" s="18"/>
      <c r="R34" s="4"/>
      <c r="S34" s="4"/>
      <c r="T34" s="2"/>
      <c r="U34" s="2" t="s">
        <v>150</v>
      </c>
      <c r="W34" t="s">
        <v>184</v>
      </c>
      <c r="AA34" s="3" t="s">
        <v>246</v>
      </c>
      <c r="AC34" s="3" t="s">
        <v>244</v>
      </c>
      <c r="AD34" s="2" t="s">
        <v>70</v>
      </c>
    </row>
    <row r="35" spans="1:30" ht="75" hidden="1" x14ac:dyDescent="0.25">
      <c r="A35" s="31"/>
      <c r="B35" s="31" t="s">
        <v>0</v>
      </c>
      <c r="C35" s="31">
        <v>3</v>
      </c>
      <c r="D35" s="2" t="s">
        <v>28</v>
      </c>
      <c r="E35" s="2" t="s">
        <v>29</v>
      </c>
      <c r="F35" s="2" t="s">
        <v>93</v>
      </c>
      <c r="G35" s="5" t="s">
        <v>176</v>
      </c>
      <c r="H35" s="5" t="s">
        <v>177</v>
      </c>
      <c r="I35" s="5"/>
      <c r="J35" s="2" t="s">
        <v>174</v>
      </c>
      <c r="K35" s="2"/>
      <c r="L35" s="2"/>
      <c r="M35" s="2"/>
      <c r="N35" s="2"/>
      <c r="O35" s="18"/>
      <c r="P35" s="18"/>
      <c r="Q35" s="18"/>
      <c r="R35" s="50"/>
      <c r="S35" s="50">
        <v>0.9</v>
      </c>
      <c r="T35" s="43" t="s">
        <v>242</v>
      </c>
      <c r="U35" s="2" t="s">
        <v>150</v>
      </c>
      <c r="W35" s="3"/>
      <c r="X35" s="3"/>
      <c r="Y35" s="3"/>
      <c r="Z35" s="3"/>
      <c r="AA35" s="3" t="s">
        <v>250</v>
      </c>
      <c r="AB35" s="3"/>
      <c r="AC35" s="3" t="s">
        <v>249</v>
      </c>
      <c r="AD35" s="2"/>
    </row>
    <row r="36" spans="1:30" ht="75" hidden="1" x14ac:dyDescent="0.25">
      <c r="A36" s="31"/>
      <c r="B36" s="31" t="s">
        <v>0</v>
      </c>
      <c r="C36" s="31">
        <v>3</v>
      </c>
      <c r="D36" s="2" t="s">
        <v>28</v>
      </c>
      <c r="E36" s="2" t="s">
        <v>29</v>
      </c>
      <c r="F36" s="2" t="s">
        <v>93</v>
      </c>
      <c r="G36" s="5" t="s">
        <v>175</v>
      </c>
      <c r="H36" s="5" t="s">
        <v>178</v>
      </c>
      <c r="I36" s="5"/>
      <c r="J36" s="2" t="s">
        <v>174</v>
      </c>
      <c r="K36" s="2"/>
      <c r="L36" s="2"/>
      <c r="M36" s="2"/>
      <c r="N36" s="2"/>
      <c r="O36" s="18"/>
      <c r="P36" s="18"/>
      <c r="Q36" s="18"/>
      <c r="R36" s="4"/>
      <c r="S36" s="4"/>
      <c r="T36" s="2"/>
      <c r="U36" s="2" t="s">
        <v>150</v>
      </c>
      <c r="W36" s="3"/>
      <c r="X36" s="3"/>
      <c r="Y36" s="3"/>
      <c r="Z36" s="3"/>
      <c r="AA36" s="3" t="s">
        <v>250</v>
      </c>
      <c r="AB36" s="3"/>
      <c r="AC36" s="3" t="s">
        <v>249</v>
      </c>
      <c r="AD36" s="2"/>
    </row>
    <row r="37" spans="1:30" ht="75" hidden="1" x14ac:dyDescent="0.25">
      <c r="A37" s="31"/>
      <c r="B37" s="31" t="s">
        <v>0</v>
      </c>
      <c r="C37" s="31">
        <v>3</v>
      </c>
      <c r="D37" s="2" t="s">
        <v>28</v>
      </c>
      <c r="E37" s="2" t="s">
        <v>29</v>
      </c>
      <c r="F37" s="2" t="s">
        <v>93</v>
      </c>
      <c r="G37" s="5" t="s">
        <v>228</v>
      </c>
      <c r="H37" s="5" t="s">
        <v>154</v>
      </c>
      <c r="I37" s="5"/>
      <c r="J37" s="2" t="s">
        <v>138</v>
      </c>
      <c r="K37" s="2">
        <v>2015</v>
      </c>
      <c r="L37" s="2">
        <v>7.8</v>
      </c>
      <c r="M37" s="2"/>
      <c r="N37" s="2"/>
      <c r="O37" s="18"/>
      <c r="P37" s="18"/>
      <c r="Q37" s="18"/>
      <c r="R37" s="4"/>
      <c r="S37" s="4"/>
      <c r="T37" s="2"/>
      <c r="U37" s="2" t="s">
        <v>150</v>
      </c>
      <c r="W37" t="s">
        <v>184</v>
      </c>
      <c r="X37" t="s">
        <v>184</v>
      </c>
      <c r="Y37" t="s">
        <v>184</v>
      </c>
      <c r="AA37" s="3" t="s">
        <v>246</v>
      </c>
      <c r="AC37" s="3" t="s">
        <v>244</v>
      </c>
      <c r="AD37" s="2" t="s">
        <v>70</v>
      </c>
    </row>
    <row r="38" spans="1:30" ht="60" hidden="1" x14ac:dyDescent="0.25">
      <c r="A38" s="31"/>
      <c r="B38" s="31" t="s">
        <v>0</v>
      </c>
      <c r="C38" s="31">
        <v>4</v>
      </c>
      <c r="D38" s="2" t="s">
        <v>31</v>
      </c>
      <c r="E38" s="2" t="s">
        <v>32</v>
      </c>
      <c r="F38" s="2" t="s">
        <v>334</v>
      </c>
      <c r="G38" s="5" t="s">
        <v>192</v>
      </c>
      <c r="H38" s="5" t="s">
        <v>294</v>
      </c>
      <c r="I38" s="5" t="s">
        <v>35</v>
      </c>
      <c r="J38" s="2" t="s">
        <v>80</v>
      </c>
      <c r="K38" s="2">
        <v>2018</v>
      </c>
      <c r="L38" s="2">
        <v>58</v>
      </c>
      <c r="M38" s="2">
        <v>2019</v>
      </c>
      <c r="N38" s="2">
        <v>49</v>
      </c>
      <c r="O38" s="18"/>
      <c r="P38" s="18"/>
      <c r="Q38" s="18"/>
      <c r="R38" s="4"/>
      <c r="S38" s="4"/>
      <c r="T38" s="2"/>
      <c r="U38" s="2" t="s">
        <v>150</v>
      </c>
      <c r="W38" t="s">
        <v>184</v>
      </c>
      <c r="X38" t="s">
        <v>184</v>
      </c>
      <c r="Z38" s="3"/>
      <c r="AA38" s="3" t="s">
        <v>244</v>
      </c>
      <c r="AC38" s="3" t="s">
        <v>246</v>
      </c>
      <c r="AD38" s="2" t="s">
        <v>70</v>
      </c>
    </row>
    <row r="39" spans="1:30" ht="45" hidden="1" x14ac:dyDescent="0.25">
      <c r="A39" s="31"/>
      <c r="B39" s="31" t="s">
        <v>0</v>
      </c>
      <c r="C39" s="31">
        <v>4</v>
      </c>
      <c r="D39" s="2" t="s">
        <v>31</v>
      </c>
      <c r="E39" s="2" t="s">
        <v>32</v>
      </c>
      <c r="F39" s="2" t="s">
        <v>334</v>
      </c>
      <c r="G39" s="5" t="s">
        <v>303</v>
      </c>
      <c r="H39" s="5" t="s">
        <v>139</v>
      </c>
      <c r="I39" s="5"/>
      <c r="J39" s="2" t="s">
        <v>431</v>
      </c>
      <c r="K39" s="2">
        <v>2014</v>
      </c>
      <c r="L39" s="18">
        <v>0.54600000000000004</v>
      </c>
      <c r="M39" s="2"/>
      <c r="N39" s="2"/>
      <c r="O39" s="18"/>
      <c r="P39" s="18"/>
      <c r="Q39" s="18"/>
      <c r="R39" s="4"/>
      <c r="S39" s="4"/>
      <c r="T39" s="2"/>
      <c r="U39" s="2" t="s">
        <v>150</v>
      </c>
      <c r="W39" t="s">
        <v>184</v>
      </c>
      <c r="X39" t="s">
        <v>184</v>
      </c>
      <c r="Y39" t="s">
        <v>184</v>
      </c>
      <c r="AA39" s="3" t="s">
        <v>246</v>
      </c>
      <c r="AC39" s="3" t="s">
        <v>244</v>
      </c>
      <c r="AD39" s="2" t="s">
        <v>70</v>
      </c>
    </row>
    <row r="40" spans="1:30" ht="45" hidden="1" x14ac:dyDescent="0.25">
      <c r="A40" s="31"/>
      <c r="B40" s="31" t="s">
        <v>0</v>
      </c>
      <c r="C40" s="31">
        <v>4</v>
      </c>
      <c r="D40" s="2" t="s">
        <v>31</v>
      </c>
      <c r="E40" s="2" t="s">
        <v>32</v>
      </c>
      <c r="F40" s="2" t="s">
        <v>334</v>
      </c>
      <c r="G40" s="5" t="s">
        <v>304</v>
      </c>
      <c r="H40" s="5" t="s">
        <v>212</v>
      </c>
      <c r="I40" s="5" t="s">
        <v>140</v>
      </c>
      <c r="J40" s="2" t="s">
        <v>141</v>
      </c>
      <c r="K40" s="2"/>
      <c r="L40" s="2"/>
      <c r="M40" s="2">
        <v>2019</v>
      </c>
      <c r="N40" s="2"/>
      <c r="O40" s="18"/>
      <c r="P40" s="18"/>
      <c r="Q40" s="18"/>
      <c r="R40" s="4"/>
      <c r="S40" s="4"/>
      <c r="T40" s="2"/>
      <c r="U40" s="2" t="s">
        <v>150</v>
      </c>
      <c r="W40" s="3"/>
      <c r="X40" s="3" t="s">
        <v>184</v>
      </c>
      <c r="Y40" s="3"/>
      <c r="Z40" s="3"/>
      <c r="AA40" s="3" t="s">
        <v>250</v>
      </c>
      <c r="AB40" s="3"/>
      <c r="AC40" s="3" t="s">
        <v>247</v>
      </c>
      <c r="AD40" s="2" t="s">
        <v>70</v>
      </c>
    </row>
    <row r="41" spans="1:30" ht="45" hidden="1" x14ac:dyDescent="0.25">
      <c r="A41" s="31"/>
      <c r="B41" s="31" t="s">
        <v>0</v>
      </c>
      <c r="C41" s="31">
        <v>4</v>
      </c>
      <c r="D41" s="2" t="s">
        <v>31</v>
      </c>
      <c r="E41" s="2" t="s">
        <v>32</v>
      </c>
      <c r="F41" s="2" t="s">
        <v>334</v>
      </c>
      <c r="G41" s="5" t="s">
        <v>305</v>
      </c>
      <c r="H41" s="5" t="s">
        <v>142</v>
      </c>
      <c r="I41" s="5" t="s">
        <v>140</v>
      </c>
      <c r="J41" s="2" t="s">
        <v>143</v>
      </c>
      <c r="K41" s="2">
        <v>2018</v>
      </c>
      <c r="L41" s="2"/>
      <c r="M41" s="2">
        <v>2019</v>
      </c>
      <c r="N41" s="2"/>
      <c r="O41" s="18"/>
      <c r="P41" s="18"/>
      <c r="Q41" s="18"/>
      <c r="R41" s="4"/>
      <c r="S41" s="4"/>
      <c r="T41" s="2"/>
      <c r="U41" s="2" t="s">
        <v>150</v>
      </c>
      <c r="V41" s="2"/>
      <c r="W41" s="3"/>
      <c r="X41" s="3" t="s">
        <v>184</v>
      </c>
      <c r="Y41" s="3"/>
      <c r="Z41" s="3"/>
      <c r="AA41" s="3" t="s">
        <v>250</v>
      </c>
      <c r="AB41" s="3"/>
      <c r="AC41" s="3" t="s">
        <v>247</v>
      </c>
      <c r="AD41" s="2" t="s">
        <v>70</v>
      </c>
    </row>
    <row r="42" spans="1:30" ht="45" hidden="1" x14ac:dyDescent="0.25">
      <c r="A42" s="31"/>
      <c r="B42" s="31" t="s">
        <v>0</v>
      </c>
      <c r="C42" s="31">
        <v>4</v>
      </c>
      <c r="D42" s="2" t="s">
        <v>31</v>
      </c>
      <c r="E42" s="2" t="s">
        <v>32</v>
      </c>
      <c r="F42" s="2" t="s">
        <v>334</v>
      </c>
      <c r="G42" s="5" t="s">
        <v>306</v>
      </c>
      <c r="H42" s="5" t="s">
        <v>144</v>
      </c>
      <c r="I42" s="5" t="s">
        <v>140</v>
      </c>
      <c r="J42" s="2" t="s">
        <v>145</v>
      </c>
      <c r="K42" s="2">
        <v>2018</v>
      </c>
      <c r="L42" s="14">
        <v>475940</v>
      </c>
      <c r="M42" s="2">
        <v>2019</v>
      </c>
      <c r="N42" s="14">
        <v>529094</v>
      </c>
      <c r="O42" s="18"/>
      <c r="P42" s="18"/>
      <c r="Q42" s="18"/>
      <c r="R42" s="4"/>
      <c r="S42" s="4"/>
      <c r="T42" s="2"/>
      <c r="U42" s="2" t="s">
        <v>150</v>
      </c>
      <c r="W42" t="s">
        <v>184</v>
      </c>
      <c r="X42" t="s">
        <v>184</v>
      </c>
      <c r="Y42" t="s">
        <v>184</v>
      </c>
      <c r="AA42" s="3" t="s">
        <v>250</v>
      </c>
      <c r="AB42" s="3"/>
      <c r="AC42" s="3" t="s">
        <v>247</v>
      </c>
      <c r="AD42" s="2" t="s">
        <v>70</v>
      </c>
    </row>
    <row r="43" spans="1:30" ht="45" hidden="1" x14ac:dyDescent="0.25">
      <c r="A43" s="31"/>
      <c r="B43" s="31" t="s">
        <v>0</v>
      </c>
      <c r="C43" s="31">
        <v>4</v>
      </c>
      <c r="D43" s="2" t="s">
        <v>31</v>
      </c>
      <c r="E43" s="2" t="s">
        <v>32</v>
      </c>
      <c r="F43" s="2" t="s">
        <v>334</v>
      </c>
      <c r="G43" s="5" t="s">
        <v>271</v>
      </c>
      <c r="H43" s="5" t="s">
        <v>270</v>
      </c>
      <c r="I43" s="5" t="s">
        <v>68</v>
      </c>
      <c r="J43" s="2" t="s">
        <v>13</v>
      </c>
      <c r="K43" s="2">
        <v>2018</v>
      </c>
      <c r="L43" s="11">
        <v>0.38</v>
      </c>
      <c r="M43" s="2">
        <v>2019</v>
      </c>
      <c r="N43" s="12">
        <v>0.33500000000000002</v>
      </c>
      <c r="O43" s="18"/>
      <c r="P43" s="18"/>
      <c r="Q43" s="18"/>
      <c r="R43" s="4"/>
      <c r="S43" s="4"/>
      <c r="T43" s="2"/>
      <c r="U43" s="2" t="s">
        <v>150</v>
      </c>
      <c r="W43" t="s">
        <v>184</v>
      </c>
      <c r="X43" t="s">
        <v>184</v>
      </c>
      <c r="Y43" t="s">
        <v>184</v>
      </c>
      <c r="AA43" s="3" t="s">
        <v>246</v>
      </c>
      <c r="AC43" s="3" t="s">
        <v>244</v>
      </c>
      <c r="AD43" s="2"/>
    </row>
    <row r="44" spans="1:30" ht="45" x14ac:dyDescent="0.25">
      <c r="A44" s="31" t="s">
        <v>447</v>
      </c>
      <c r="B44" s="31" t="s">
        <v>0</v>
      </c>
      <c r="C44" s="31">
        <v>4</v>
      </c>
      <c r="D44" s="2" t="s">
        <v>31</v>
      </c>
      <c r="E44" s="2" t="s">
        <v>32</v>
      </c>
      <c r="F44" s="2" t="s">
        <v>334</v>
      </c>
      <c r="G44" s="5" t="s">
        <v>412</v>
      </c>
      <c r="H44" s="5" t="s">
        <v>295</v>
      </c>
      <c r="I44" s="5" t="s">
        <v>68</v>
      </c>
      <c r="J44" s="2" t="s">
        <v>151</v>
      </c>
      <c r="K44" s="2">
        <v>2018</v>
      </c>
      <c r="L44" s="2">
        <v>52</v>
      </c>
      <c r="M44" s="2">
        <v>2019</v>
      </c>
      <c r="N44" s="2">
        <v>49</v>
      </c>
      <c r="O44" s="41">
        <f>(($S44-$L44)/21*6)+$L44</f>
        <v>55.142857142857146</v>
      </c>
      <c r="P44" s="41">
        <f>(($S44-$L44)/21*10)+$L44</f>
        <v>57.238095238095241</v>
      </c>
      <c r="Q44" s="41">
        <f>(($S44-$L44)/21*14)+$L44</f>
        <v>59.333333333333336</v>
      </c>
      <c r="R44" s="52">
        <f>(($S44-$L44)/21*18)+$L44</f>
        <v>61.428571428571431</v>
      </c>
      <c r="S44" s="52">
        <v>63</v>
      </c>
      <c r="T44" s="46" t="s">
        <v>378</v>
      </c>
      <c r="U44" s="2" t="s">
        <v>149</v>
      </c>
      <c r="V44" t="s">
        <v>351</v>
      </c>
      <c r="W44" t="s">
        <v>184</v>
      </c>
      <c r="X44" t="s">
        <v>184</v>
      </c>
      <c r="AA44" s="3" t="s">
        <v>246</v>
      </c>
      <c r="AC44" s="3" t="s">
        <v>246</v>
      </c>
      <c r="AD44" s="2" t="s">
        <v>71</v>
      </c>
    </row>
    <row r="45" spans="1:30" ht="30" hidden="1" x14ac:dyDescent="0.25">
      <c r="A45" s="31"/>
      <c r="B45" s="31" t="s">
        <v>0</v>
      </c>
      <c r="C45" s="31">
        <v>5</v>
      </c>
      <c r="D45" s="2" t="s">
        <v>33</v>
      </c>
      <c r="E45" s="2" t="s">
        <v>34</v>
      </c>
      <c r="F45" s="2" t="s">
        <v>98</v>
      </c>
      <c r="G45" s="5" t="s">
        <v>274</v>
      </c>
      <c r="H45" s="5" t="s">
        <v>119</v>
      </c>
      <c r="I45" s="5" t="s">
        <v>64</v>
      </c>
      <c r="J45" s="2" t="s">
        <v>21</v>
      </c>
      <c r="K45" s="2">
        <v>2016</v>
      </c>
      <c r="L45" s="18">
        <v>0.109</v>
      </c>
      <c r="M45" s="2"/>
      <c r="N45" s="2"/>
      <c r="O45" s="18"/>
      <c r="P45" s="18"/>
      <c r="Q45" s="18"/>
      <c r="R45" s="4"/>
      <c r="S45" s="4"/>
      <c r="T45" s="2"/>
      <c r="U45" s="2" t="s">
        <v>150</v>
      </c>
      <c r="W45" t="s">
        <v>184</v>
      </c>
      <c r="X45" t="s">
        <v>184</v>
      </c>
      <c r="Y45" t="s">
        <v>184</v>
      </c>
      <c r="AA45" s="3" t="s">
        <v>246</v>
      </c>
      <c r="AC45" s="3" t="s">
        <v>244</v>
      </c>
      <c r="AD45" s="2"/>
    </row>
    <row r="46" spans="1:30" ht="30" hidden="1" x14ac:dyDescent="0.25">
      <c r="A46" s="31"/>
      <c r="B46" s="31" t="s">
        <v>0</v>
      </c>
      <c r="C46" s="31">
        <v>5</v>
      </c>
      <c r="D46" s="2" t="s">
        <v>33</v>
      </c>
      <c r="E46" s="2" t="s">
        <v>34</v>
      </c>
      <c r="F46" s="2" t="s">
        <v>98</v>
      </c>
      <c r="G46" s="5" t="s">
        <v>210</v>
      </c>
      <c r="H46" s="5" t="s">
        <v>211</v>
      </c>
      <c r="I46" s="5" t="s">
        <v>64</v>
      </c>
      <c r="J46" s="2"/>
      <c r="K46" s="2"/>
      <c r="L46" s="2"/>
      <c r="M46" s="2"/>
      <c r="N46" s="2"/>
      <c r="O46" s="18"/>
      <c r="P46" s="18"/>
      <c r="Q46" s="18"/>
      <c r="R46" s="4"/>
      <c r="S46" s="4"/>
      <c r="T46" s="2"/>
      <c r="U46" s="2" t="s">
        <v>150</v>
      </c>
      <c r="W46" s="3"/>
      <c r="X46" s="3" t="s">
        <v>184</v>
      </c>
      <c r="Y46" s="3"/>
      <c r="Z46" s="3"/>
      <c r="AA46" s="3" t="s">
        <v>244</v>
      </c>
      <c r="AB46" s="3"/>
      <c r="AC46" s="3" t="s">
        <v>247</v>
      </c>
      <c r="AD46" s="2"/>
    </row>
    <row r="47" spans="1:30" ht="60" hidden="1" x14ac:dyDescent="0.25">
      <c r="A47" s="31"/>
      <c r="B47" s="31" t="s">
        <v>0</v>
      </c>
      <c r="C47" s="31">
        <v>5</v>
      </c>
      <c r="D47" s="2" t="s">
        <v>33</v>
      </c>
      <c r="E47" s="2" t="s">
        <v>34</v>
      </c>
      <c r="F47" s="2" t="s">
        <v>98</v>
      </c>
      <c r="G47" s="5" t="s">
        <v>193</v>
      </c>
      <c r="H47" s="8" t="s">
        <v>65</v>
      </c>
      <c r="I47" s="5" t="s">
        <v>64</v>
      </c>
      <c r="J47" s="2" t="s">
        <v>11</v>
      </c>
      <c r="K47" s="2"/>
      <c r="L47" s="2"/>
      <c r="M47" s="2"/>
      <c r="N47" s="2"/>
      <c r="O47" s="18"/>
      <c r="P47" s="18"/>
      <c r="Q47" s="18"/>
      <c r="R47" s="4"/>
      <c r="S47" s="4"/>
      <c r="T47" s="2"/>
      <c r="U47" s="2" t="s">
        <v>103</v>
      </c>
      <c r="W47" s="3"/>
      <c r="X47" s="3" t="s">
        <v>184</v>
      </c>
      <c r="Y47" s="3"/>
      <c r="Z47" s="3"/>
      <c r="AA47" s="3" t="s">
        <v>244</v>
      </c>
      <c r="AB47" s="3"/>
      <c r="AC47" s="3" t="s">
        <v>247</v>
      </c>
      <c r="AD47" s="2"/>
    </row>
    <row r="48" spans="1:30" ht="45" hidden="1" x14ac:dyDescent="0.25">
      <c r="A48" s="31"/>
      <c r="B48" s="31" t="s">
        <v>0</v>
      </c>
      <c r="C48" s="31">
        <v>5</v>
      </c>
      <c r="D48" s="2" t="s">
        <v>33</v>
      </c>
      <c r="E48" s="2" t="s">
        <v>34</v>
      </c>
      <c r="F48" s="2" t="s">
        <v>98</v>
      </c>
      <c r="G48" s="5" t="s">
        <v>273</v>
      </c>
      <c r="H48" s="5" t="s">
        <v>118</v>
      </c>
      <c r="I48" s="5" t="s">
        <v>64</v>
      </c>
      <c r="J48" s="2" t="s">
        <v>117</v>
      </c>
      <c r="K48" s="2">
        <v>2016</v>
      </c>
      <c r="L48" s="2">
        <v>403</v>
      </c>
      <c r="M48" s="2"/>
      <c r="N48" s="2"/>
      <c r="O48" s="18"/>
      <c r="P48" s="18"/>
      <c r="Q48" s="18"/>
      <c r="R48" s="4"/>
      <c r="S48" s="4"/>
      <c r="T48" s="2"/>
      <c r="U48" s="2" t="s">
        <v>150</v>
      </c>
      <c r="W48" t="s">
        <v>184</v>
      </c>
      <c r="X48" t="s">
        <v>184</v>
      </c>
      <c r="Y48" t="s">
        <v>184</v>
      </c>
      <c r="AA48" s="3" t="s">
        <v>244</v>
      </c>
      <c r="AC48" s="3" t="s">
        <v>247</v>
      </c>
      <c r="AD48" s="2" t="s">
        <v>70</v>
      </c>
    </row>
    <row r="49" spans="1:30" ht="30" x14ac:dyDescent="0.25">
      <c r="A49" s="31" t="s">
        <v>448</v>
      </c>
      <c r="B49" s="31" t="s">
        <v>0</v>
      </c>
      <c r="C49" s="31">
        <v>5</v>
      </c>
      <c r="D49" s="2" t="s">
        <v>33</v>
      </c>
      <c r="E49" s="2" t="s">
        <v>34</v>
      </c>
      <c r="F49" s="2" t="s">
        <v>98</v>
      </c>
      <c r="G49" s="5" t="s">
        <v>272</v>
      </c>
      <c r="H49" s="5" t="s">
        <v>394</v>
      </c>
      <c r="I49" s="5" t="s">
        <v>35</v>
      </c>
      <c r="J49" s="2" t="s">
        <v>436</v>
      </c>
      <c r="K49" s="2">
        <v>2016</v>
      </c>
      <c r="L49" s="18">
        <v>0.159</v>
      </c>
      <c r="M49" s="2"/>
      <c r="N49" s="2"/>
      <c r="O49" s="18">
        <f>(($S49-$L49)/21*6)+$L49</f>
        <v>0.15672857142857144</v>
      </c>
      <c r="P49" s="18">
        <f>(($S49-$L49)/21*10)+$L49</f>
        <v>0.15521428571428572</v>
      </c>
      <c r="Q49" s="18">
        <f>(($S49-$L49)/21*14)+$L49</f>
        <v>0.1537</v>
      </c>
      <c r="R49" s="51">
        <f>(($S49-$L49)/21*18)+$L49</f>
        <v>0.15218571428571429</v>
      </c>
      <c r="S49" s="51">
        <f>L49*0.95</f>
        <v>0.15104999999999999</v>
      </c>
      <c r="T49" s="38" t="s">
        <v>355</v>
      </c>
      <c r="U49" s="2" t="s">
        <v>149</v>
      </c>
      <c r="V49" t="s">
        <v>401</v>
      </c>
      <c r="W49" t="s">
        <v>184</v>
      </c>
      <c r="X49" t="s">
        <v>184</v>
      </c>
      <c r="Y49" t="s">
        <v>184</v>
      </c>
      <c r="AA49" s="3" t="s">
        <v>246</v>
      </c>
      <c r="AC49" s="3"/>
      <c r="AD49" s="2"/>
    </row>
    <row r="50" spans="1:30" ht="30" hidden="1" x14ac:dyDescent="0.25">
      <c r="A50" s="31"/>
      <c r="B50" s="31" t="s">
        <v>0</v>
      </c>
      <c r="C50" s="31">
        <v>5</v>
      </c>
      <c r="D50" s="2" t="s">
        <v>33</v>
      </c>
      <c r="E50" s="2" t="s">
        <v>34</v>
      </c>
      <c r="F50" s="2" t="s">
        <v>98</v>
      </c>
      <c r="G50" s="5" t="s">
        <v>194</v>
      </c>
      <c r="H50" s="5" t="s">
        <v>116</v>
      </c>
      <c r="I50" s="5" t="s">
        <v>35</v>
      </c>
      <c r="J50" s="2" t="s">
        <v>21</v>
      </c>
      <c r="K50" s="3">
        <v>2016</v>
      </c>
      <c r="L50" s="18">
        <v>0.41699999999999998</v>
      </c>
      <c r="M50" s="2"/>
      <c r="N50" s="2"/>
      <c r="O50" s="18"/>
      <c r="P50" s="18"/>
      <c r="Q50" s="18"/>
      <c r="R50" s="4"/>
      <c r="S50" s="4"/>
      <c r="T50" s="2"/>
      <c r="U50" s="2" t="s">
        <v>150</v>
      </c>
      <c r="W50" t="s">
        <v>184</v>
      </c>
      <c r="X50" t="s">
        <v>184</v>
      </c>
      <c r="Y50" t="s">
        <v>184</v>
      </c>
      <c r="AA50" s="3" t="s">
        <v>246</v>
      </c>
      <c r="AC50" s="3" t="s">
        <v>247</v>
      </c>
      <c r="AD50" s="2" t="s">
        <v>70</v>
      </c>
    </row>
    <row r="51" spans="1:30" ht="60" hidden="1" x14ac:dyDescent="0.25">
      <c r="A51" s="32"/>
      <c r="B51" s="32" t="s">
        <v>4</v>
      </c>
      <c r="C51" s="32">
        <v>6</v>
      </c>
      <c r="D51" s="4" t="s">
        <v>36</v>
      </c>
      <c r="E51" s="2" t="s">
        <v>37</v>
      </c>
      <c r="F51" s="2" t="s">
        <v>325</v>
      </c>
      <c r="G51" s="5" t="s">
        <v>275</v>
      </c>
      <c r="H51" s="5" t="s">
        <v>124</v>
      </c>
      <c r="I51" s="5" t="s">
        <v>64</v>
      </c>
      <c r="J51" s="2" t="s">
        <v>21</v>
      </c>
      <c r="K51" s="2">
        <v>2016</v>
      </c>
      <c r="L51" s="18">
        <v>0.63100000000000001</v>
      </c>
      <c r="M51" s="2"/>
      <c r="N51" s="12"/>
      <c r="O51" s="18"/>
      <c r="P51" s="18"/>
      <c r="Q51" s="18"/>
      <c r="R51" s="4"/>
      <c r="S51" s="4"/>
      <c r="T51" s="2"/>
      <c r="U51" s="2" t="s">
        <v>150</v>
      </c>
      <c r="W51" t="s">
        <v>184</v>
      </c>
      <c r="X51" t="s">
        <v>184</v>
      </c>
      <c r="Y51" t="s">
        <v>184</v>
      </c>
      <c r="AA51" s="3" t="s">
        <v>246</v>
      </c>
      <c r="AC51" s="3" t="s">
        <v>246</v>
      </c>
      <c r="AD51" s="2" t="s">
        <v>71</v>
      </c>
    </row>
    <row r="52" spans="1:30" ht="60" x14ac:dyDescent="0.25">
      <c r="A52" s="32" t="s">
        <v>450</v>
      </c>
      <c r="B52" s="32" t="s">
        <v>4</v>
      </c>
      <c r="C52" s="32">
        <v>6</v>
      </c>
      <c r="D52" s="4" t="s">
        <v>36</v>
      </c>
      <c r="E52" s="2" t="s">
        <v>37</v>
      </c>
      <c r="F52" s="2" t="s">
        <v>325</v>
      </c>
      <c r="G52" s="5" t="s">
        <v>276</v>
      </c>
      <c r="H52" s="5" t="s">
        <v>123</v>
      </c>
      <c r="I52" s="5" t="s">
        <v>81</v>
      </c>
      <c r="J52" s="2" t="s">
        <v>379</v>
      </c>
      <c r="K52" s="2">
        <v>2018</v>
      </c>
      <c r="L52" s="18">
        <v>4.8000000000000001E-2</v>
      </c>
      <c r="M52" s="2"/>
      <c r="N52" s="2"/>
      <c r="O52" s="18">
        <f>(($S52-$L52)/21*6)+$L52</f>
        <v>4.0285714285714286E-2</v>
      </c>
      <c r="P52" s="18">
        <f>(($S52-$L52)/21*10)+$L52</f>
        <v>3.5142857142857142E-2</v>
      </c>
      <c r="Q52" s="18">
        <f>(($S52-$L52)/21*14)+$L52</f>
        <v>3.0000000000000002E-2</v>
      </c>
      <c r="R52" s="51">
        <f>(($S52-$L52)/21*18)+$L52</f>
        <v>2.4857142857142859E-2</v>
      </c>
      <c r="S52" s="51">
        <v>2.1000000000000001E-2</v>
      </c>
      <c r="T52" s="46" t="s">
        <v>380</v>
      </c>
      <c r="U52" s="2" t="s">
        <v>149</v>
      </c>
      <c r="V52" t="s">
        <v>401</v>
      </c>
      <c r="W52" t="s">
        <v>184</v>
      </c>
      <c r="X52" t="s">
        <v>184</v>
      </c>
      <c r="Y52" t="s">
        <v>184</v>
      </c>
      <c r="AA52" s="3" t="s">
        <v>246</v>
      </c>
      <c r="AC52" s="3" t="s">
        <v>246</v>
      </c>
      <c r="AD52" s="2" t="s">
        <v>70</v>
      </c>
    </row>
    <row r="53" spans="1:30" ht="60" hidden="1" x14ac:dyDescent="0.25">
      <c r="A53" s="32"/>
      <c r="B53" s="32" t="s">
        <v>4</v>
      </c>
      <c r="C53" s="32">
        <v>6</v>
      </c>
      <c r="D53" s="4" t="s">
        <v>36</v>
      </c>
      <c r="E53" s="2" t="s">
        <v>37</v>
      </c>
      <c r="F53" s="2" t="s">
        <v>325</v>
      </c>
      <c r="G53" s="5" t="s">
        <v>236</v>
      </c>
      <c r="H53" s="5" t="s">
        <v>399</v>
      </c>
      <c r="I53" s="5" t="s">
        <v>64</v>
      </c>
      <c r="J53" s="2" t="s">
        <v>21</v>
      </c>
      <c r="K53" s="2">
        <v>2016</v>
      </c>
      <c r="L53" s="18">
        <v>0.61099999999999999</v>
      </c>
      <c r="M53" s="2"/>
      <c r="N53" s="2"/>
      <c r="O53" s="18"/>
      <c r="P53" s="18"/>
      <c r="Q53" s="18"/>
      <c r="R53" s="4"/>
      <c r="S53" s="4"/>
      <c r="T53" s="2"/>
      <c r="U53" s="2" t="s">
        <v>150</v>
      </c>
      <c r="W53" t="s">
        <v>184</v>
      </c>
      <c r="X53" t="s">
        <v>184</v>
      </c>
      <c r="Y53" t="s">
        <v>184</v>
      </c>
      <c r="AA53" s="3" t="s">
        <v>244</v>
      </c>
      <c r="AC53" s="3" t="s">
        <v>247</v>
      </c>
      <c r="AD53" s="2"/>
    </row>
    <row r="54" spans="1:30" ht="60" hidden="1" x14ac:dyDescent="0.25">
      <c r="A54" s="32"/>
      <c r="B54" s="32" t="s">
        <v>4</v>
      </c>
      <c r="C54" s="32">
        <v>6</v>
      </c>
      <c r="D54" s="4" t="s">
        <v>36</v>
      </c>
      <c r="E54" s="2" t="s">
        <v>37</v>
      </c>
      <c r="F54" s="2" t="s">
        <v>325</v>
      </c>
      <c r="G54" s="5" t="s">
        <v>237</v>
      </c>
      <c r="H54" s="5" t="s">
        <v>146</v>
      </c>
      <c r="I54" s="5" t="s">
        <v>64</v>
      </c>
      <c r="J54" s="2" t="s">
        <v>21</v>
      </c>
      <c r="K54" s="2">
        <v>2016</v>
      </c>
      <c r="L54" s="18">
        <v>0.311</v>
      </c>
      <c r="M54" s="2"/>
      <c r="N54" s="2"/>
      <c r="O54" s="18"/>
      <c r="P54" s="18"/>
      <c r="Q54" s="18"/>
      <c r="R54" s="4"/>
      <c r="S54" s="4"/>
      <c r="T54" s="2"/>
      <c r="U54" s="2" t="s">
        <v>150</v>
      </c>
      <c r="W54" t="s">
        <v>184</v>
      </c>
      <c r="X54" t="s">
        <v>184</v>
      </c>
      <c r="Y54" t="s">
        <v>184</v>
      </c>
      <c r="AA54" s="3" t="s">
        <v>244</v>
      </c>
      <c r="AC54" s="3" t="s">
        <v>247</v>
      </c>
      <c r="AD54" s="2"/>
    </row>
    <row r="55" spans="1:30" ht="60" x14ac:dyDescent="0.25">
      <c r="A55" s="32" t="s">
        <v>451</v>
      </c>
      <c r="B55" s="32" t="s">
        <v>4</v>
      </c>
      <c r="C55" s="32">
        <v>6</v>
      </c>
      <c r="D55" s="4" t="s">
        <v>36</v>
      </c>
      <c r="E55" s="2" t="s">
        <v>37</v>
      </c>
      <c r="F55" s="2" t="s">
        <v>325</v>
      </c>
      <c r="G55" s="5" t="s">
        <v>277</v>
      </c>
      <c r="H55" s="5" t="s">
        <v>120</v>
      </c>
      <c r="I55" s="5" t="s">
        <v>35</v>
      </c>
      <c r="J55" s="2" t="s">
        <v>436</v>
      </c>
      <c r="K55" s="2">
        <v>2016</v>
      </c>
      <c r="L55" s="18">
        <v>0.17199999999999999</v>
      </c>
      <c r="M55" s="2"/>
      <c r="N55" s="11"/>
      <c r="O55" s="18">
        <f>(($S55-$L55)/21*6)+$L55</f>
        <v>0.18428571428571427</v>
      </c>
      <c r="P55" s="18">
        <f>(($S55-$L55)/21*10)+$L55</f>
        <v>0.19247619047619047</v>
      </c>
      <c r="Q55" s="18">
        <f>(($S55-$L55)/21*14)+$L55</f>
        <v>0.20066666666666666</v>
      </c>
      <c r="R55" s="48">
        <f>(($S55-$L55)/21*18)+$L55</f>
        <v>0.20885714285714285</v>
      </c>
      <c r="S55" s="48">
        <v>0.215</v>
      </c>
      <c r="T55" s="46" t="s">
        <v>381</v>
      </c>
      <c r="U55" s="2" t="s">
        <v>149</v>
      </c>
      <c r="V55" t="s">
        <v>351</v>
      </c>
      <c r="W55" t="s">
        <v>184</v>
      </c>
      <c r="X55" t="s">
        <v>184</v>
      </c>
      <c r="Y55" t="s">
        <v>184</v>
      </c>
      <c r="AA55" s="3" t="s">
        <v>246</v>
      </c>
      <c r="AC55" s="3" t="s">
        <v>246</v>
      </c>
      <c r="AD55" s="2" t="s">
        <v>70</v>
      </c>
    </row>
    <row r="56" spans="1:30" ht="60" hidden="1" x14ac:dyDescent="0.25">
      <c r="A56" s="32"/>
      <c r="B56" s="32" t="s">
        <v>4</v>
      </c>
      <c r="C56" s="32">
        <v>6</v>
      </c>
      <c r="D56" s="4" t="s">
        <v>36</v>
      </c>
      <c r="E56" s="2" t="s">
        <v>37</v>
      </c>
      <c r="F56" s="2" t="s">
        <v>325</v>
      </c>
      <c r="G56" s="5" t="s">
        <v>277</v>
      </c>
      <c r="H56" s="5" t="s">
        <v>183</v>
      </c>
      <c r="I56" s="5" t="s">
        <v>35</v>
      </c>
      <c r="J56" s="2" t="s">
        <v>13</v>
      </c>
      <c r="K56" s="2">
        <v>2018</v>
      </c>
      <c r="L56" s="18">
        <v>0.28000000000000003</v>
      </c>
      <c r="M56" s="2">
        <v>2019</v>
      </c>
      <c r="N56" s="11">
        <v>0.39</v>
      </c>
      <c r="O56" s="18"/>
      <c r="P56" s="18"/>
      <c r="Q56" s="18"/>
      <c r="R56" s="4"/>
      <c r="S56" s="4"/>
      <c r="T56" s="2"/>
      <c r="U56" s="2" t="s">
        <v>150</v>
      </c>
      <c r="W56" t="s">
        <v>184</v>
      </c>
      <c r="X56" t="s">
        <v>184</v>
      </c>
      <c r="Y56" t="s">
        <v>207</v>
      </c>
      <c r="AA56" s="3" t="s">
        <v>246</v>
      </c>
      <c r="AC56" s="3" t="s">
        <v>250</v>
      </c>
      <c r="AD56" s="2" t="s">
        <v>70</v>
      </c>
    </row>
    <row r="57" spans="1:30" ht="60" hidden="1" x14ac:dyDescent="0.25">
      <c r="A57" s="32"/>
      <c r="B57" s="32" t="s">
        <v>4</v>
      </c>
      <c r="C57" s="32">
        <v>6</v>
      </c>
      <c r="D57" s="4" t="s">
        <v>36</v>
      </c>
      <c r="E57" s="2" t="s">
        <v>37</v>
      </c>
      <c r="F57" s="2" t="s">
        <v>325</v>
      </c>
      <c r="G57" s="5" t="s">
        <v>82</v>
      </c>
      <c r="H57" s="5" t="s">
        <v>122</v>
      </c>
      <c r="I57" s="5" t="s">
        <v>67</v>
      </c>
      <c r="J57" s="4" t="s">
        <v>72</v>
      </c>
      <c r="K57" s="17" t="s">
        <v>106</v>
      </c>
      <c r="L57" s="22">
        <v>5</v>
      </c>
      <c r="M57" s="2" t="s">
        <v>358</v>
      </c>
      <c r="N57" s="2">
        <v>4.99</v>
      </c>
      <c r="O57" s="18"/>
      <c r="P57" s="18"/>
      <c r="Q57" s="18"/>
      <c r="R57" s="4"/>
      <c r="S57" s="4"/>
      <c r="T57" s="2"/>
      <c r="U57" s="2" t="s">
        <v>150</v>
      </c>
      <c r="W57" t="s">
        <v>184</v>
      </c>
      <c r="X57" t="s">
        <v>184</v>
      </c>
      <c r="Y57" t="s">
        <v>184</v>
      </c>
      <c r="AA57" s="3" t="s">
        <v>246</v>
      </c>
      <c r="AC57" s="3" t="s">
        <v>250</v>
      </c>
      <c r="AD57" s="2" t="s">
        <v>70</v>
      </c>
    </row>
    <row r="58" spans="1:30" ht="60" x14ac:dyDescent="0.25">
      <c r="A58" s="32" t="s">
        <v>452</v>
      </c>
      <c r="B58" s="32" t="s">
        <v>4</v>
      </c>
      <c r="C58" s="32">
        <v>6</v>
      </c>
      <c r="D58" s="4" t="s">
        <v>36</v>
      </c>
      <c r="E58" s="2" t="s">
        <v>37</v>
      </c>
      <c r="F58" s="2" t="s">
        <v>325</v>
      </c>
      <c r="G58" s="5" t="s">
        <v>278</v>
      </c>
      <c r="H58" s="5" t="s">
        <v>339</v>
      </c>
      <c r="I58" s="5" t="s">
        <v>375</v>
      </c>
      <c r="J58" s="4" t="s">
        <v>437</v>
      </c>
      <c r="K58" s="2">
        <v>2017</v>
      </c>
      <c r="L58" s="18">
        <v>0.91600000000000004</v>
      </c>
      <c r="M58" s="2"/>
      <c r="N58" s="2"/>
      <c r="O58" s="18">
        <f>(($S58-$L58)/21*6)+$L58</f>
        <v>0.92908571428571429</v>
      </c>
      <c r="P58" s="18">
        <f>(($S58-$L58)/21*10)+$L58</f>
        <v>0.93780952380952387</v>
      </c>
      <c r="Q58" s="18">
        <f>(($S58-$L58)/21*14)+$L58</f>
        <v>0.94653333333333345</v>
      </c>
      <c r="R58" s="48">
        <f>(($S58-$L58)/21*18)+$L58</f>
        <v>0.95525714285714292</v>
      </c>
      <c r="S58" s="48">
        <f>L58*1.05</f>
        <v>0.9618000000000001</v>
      </c>
      <c r="T58" s="43" t="s">
        <v>354</v>
      </c>
      <c r="U58" s="2" t="s">
        <v>149</v>
      </c>
      <c r="V58" t="s">
        <v>351</v>
      </c>
      <c r="W58" t="s">
        <v>184</v>
      </c>
      <c r="X58" t="s">
        <v>184</v>
      </c>
      <c r="Y58" t="s">
        <v>184</v>
      </c>
      <c r="Z58" s="3"/>
      <c r="AA58" s="3" t="s">
        <v>246</v>
      </c>
      <c r="AB58" s="3"/>
      <c r="AC58" s="3" t="s">
        <v>246</v>
      </c>
      <c r="AD58" s="2" t="s">
        <v>70</v>
      </c>
    </row>
    <row r="59" spans="1:30" ht="60" hidden="1" x14ac:dyDescent="0.25">
      <c r="A59" s="32"/>
      <c r="B59" s="32" t="s">
        <v>4</v>
      </c>
      <c r="C59" s="32">
        <v>6</v>
      </c>
      <c r="D59" s="4" t="s">
        <v>36</v>
      </c>
      <c r="E59" s="2" t="s">
        <v>37</v>
      </c>
      <c r="F59" s="2" t="s">
        <v>325</v>
      </c>
      <c r="G59" s="5" t="s">
        <v>213</v>
      </c>
      <c r="H59" s="5" t="s">
        <v>214</v>
      </c>
      <c r="I59" s="3"/>
      <c r="J59" s="4" t="s">
        <v>72</v>
      </c>
      <c r="K59" s="2"/>
      <c r="L59" s="2"/>
      <c r="M59" s="2"/>
      <c r="N59" s="2"/>
      <c r="O59" s="18"/>
      <c r="P59" s="18"/>
      <c r="Q59" s="18"/>
      <c r="R59" s="4"/>
      <c r="S59" s="4"/>
      <c r="T59" s="2"/>
      <c r="U59" s="2" t="s">
        <v>150</v>
      </c>
      <c r="X59" t="s">
        <v>184</v>
      </c>
      <c r="Y59" t="s">
        <v>184</v>
      </c>
      <c r="Z59" s="3"/>
      <c r="AA59" s="3" t="s">
        <v>246</v>
      </c>
      <c r="AB59" s="3"/>
      <c r="AC59" s="3" t="s">
        <v>251</v>
      </c>
      <c r="AD59" s="2"/>
    </row>
    <row r="60" spans="1:30" ht="60" x14ac:dyDescent="0.25">
      <c r="A60" s="32" t="s">
        <v>453</v>
      </c>
      <c r="B60" s="32" t="s">
        <v>4</v>
      </c>
      <c r="C60" s="32">
        <v>6</v>
      </c>
      <c r="D60" s="4" t="s">
        <v>36</v>
      </c>
      <c r="E60" s="2" t="s">
        <v>37</v>
      </c>
      <c r="F60" s="2" t="s">
        <v>325</v>
      </c>
      <c r="G60" s="5" t="s">
        <v>245</v>
      </c>
      <c r="H60" s="5" t="s">
        <v>121</v>
      </c>
      <c r="I60" s="5" t="s">
        <v>67</v>
      </c>
      <c r="J60" s="4" t="s">
        <v>72</v>
      </c>
      <c r="K60" s="2" t="s">
        <v>106</v>
      </c>
      <c r="L60" s="18">
        <v>0.17630000000000001</v>
      </c>
      <c r="M60" s="2" t="s">
        <v>358</v>
      </c>
      <c r="N60" s="12">
        <v>0.16969999999999999</v>
      </c>
      <c r="O60" s="18">
        <f>(($S60-$L60)/21*6)+$L60</f>
        <v>0.35450000000000004</v>
      </c>
      <c r="P60" s="18">
        <f>(($S60-$L60)/21*10)+$L60</f>
        <v>0.4733</v>
      </c>
      <c r="Q60" s="18">
        <f>(($S60-$L60)/21*14)+$L60</f>
        <v>0.59210000000000007</v>
      </c>
      <c r="R60" s="48">
        <f>(($S60-$L60)/21*18)+$L60</f>
        <v>0.71089999999999998</v>
      </c>
      <c r="S60" s="48">
        <v>0.8</v>
      </c>
      <c r="T60" s="46" t="s">
        <v>377</v>
      </c>
      <c r="U60" s="2" t="s">
        <v>149</v>
      </c>
      <c r="V60" t="s">
        <v>351</v>
      </c>
      <c r="W60" t="s">
        <v>184</v>
      </c>
      <c r="X60" t="s">
        <v>184</v>
      </c>
      <c r="Y60" t="s">
        <v>184</v>
      </c>
      <c r="AA60" s="3" t="s">
        <v>246</v>
      </c>
      <c r="AC60" s="3" t="s">
        <v>246</v>
      </c>
      <c r="AD60" s="2" t="s">
        <v>70</v>
      </c>
    </row>
    <row r="61" spans="1:30" ht="60" hidden="1" x14ac:dyDescent="0.25">
      <c r="A61" s="32"/>
      <c r="B61" s="32" t="s">
        <v>4</v>
      </c>
      <c r="C61" s="32">
        <v>7</v>
      </c>
      <c r="D61" s="2" t="s">
        <v>38</v>
      </c>
      <c r="E61" s="2" t="s">
        <v>39</v>
      </c>
      <c r="F61" s="2" t="s">
        <v>326</v>
      </c>
      <c r="G61" s="5" t="s">
        <v>238</v>
      </c>
      <c r="H61" s="8" t="s">
        <v>65</v>
      </c>
      <c r="I61" s="5" t="s">
        <v>64</v>
      </c>
      <c r="J61" s="2" t="s">
        <v>20</v>
      </c>
      <c r="K61" s="2"/>
      <c r="L61" s="2"/>
      <c r="M61" s="2"/>
      <c r="N61" s="2"/>
      <c r="O61" s="18"/>
      <c r="P61" s="18"/>
      <c r="Q61" s="18"/>
      <c r="R61" s="4"/>
      <c r="S61" s="4"/>
      <c r="T61" s="2"/>
      <c r="U61" s="2" t="s">
        <v>103</v>
      </c>
      <c r="W61" s="3" t="s">
        <v>184</v>
      </c>
      <c r="X61" s="3" t="s">
        <v>184</v>
      </c>
      <c r="Y61" s="3" t="s">
        <v>207</v>
      </c>
      <c r="Z61" s="3"/>
      <c r="AA61" s="3" t="s">
        <v>249</v>
      </c>
      <c r="AB61" s="3"/>
      <c r="AC61" s="3" t="s">
        <v>247</v>
      </c>
      <c r="AD61" s="2"/>
    </row>
    <row r="62" spans="1:30" ht="45" hidden="1" x14ac:dyDescent="0.25">
      <c r="A62" s="32"/>
      <c r="B62" s="32" t="s">
        <v>4</v>
      </c>
      <c r="C62" s="32">
        <v>7</v>
      </c>
      <c r="D62" s="2" t="s">
        <v>38</v>
      </c>
      <c r="E62" s="2" t="s">
        <v>39</v>
      </c>
      <c r="F62" s="2" t="s">
        <v>326</v>
      </c>
      <c r="G62" s="5" t="s">
        <v>279</v>
      </c>
      <c r="H62" s="8" t="s">
        <v>280</v>
      </c>
      <c r="I62" s="5" t="s">
        <v>64</v>
      </c>
      <c r="J62" s="2" t="s">
        <v>11</v>
      </c>
      <c r="K62" s="2"/>
      <c r="L62" s="2"/>
      <c r="M62" s="2"/>
      <c r="N62" s="2"/>
      <c r="O62" s="18"/>
      <c r="P62" s="18"/>
      <c r="Q62" s="18"/>
      <c r="R62" s="4"/>
      <c r="S62" s="4"/>
      <c r="T62" s="2"/>
      <c r="U62" s="2" t="s">
        <v>150</v>
      </c>
      <c r="W62" s="3"/>
      <c r="X62" s="3" t="s">
        <v>184</v>
      </c>
      <c r="Y62" s="3" t="s">
        <v>184</v>
      </c>
      <c r="Z62" s="3"/>
      <c r="AA62" s="3" t="s">
        <v>246</v>
      </c>
      <c r="AB62" s="3"/>
      <c r="AC62" s="3" t="s">
        <v>250</v>
      </c>
      <c r="AD62" s="2"/>
    </row>
    <row r="63" spans="1:30" ht="45" x14ac:dyDescent="0.25">
      <c r="A63" s="32" t="s">
        <v>454</v>
      </c>
      <c r="B63" s="32" t="s">
        <v>4</v>
      </c>
      <c r="C63" s="32">
        <v>7</v>
      </c>
      <c r="D63" s="2" t="s">
        <v>38</v>
      </c>
      <c r="E63" s="2" t="s">
        <v>39</v>
      </c>
      <c r="F63" s="2" t="s">
        <v>326</v>
      </c>
      <c r="G63" s="5" t="s">
        <v>382</v>
      </c>
      <c r="H63" s="5" t="s">
        <v>383</v>
      </c>
      <c r="I63" s="5"/>
      <c r="J63" s="2" t="s">
        <v>436</v>
      </c>
      <c r="K63" s="2">
        <v>2016</v>
      </c>
      <c r="L63" s="18">
        <v>0.33</v>
      </c>
      <c r="M63" s="2"/>
      <c r="N63" s="3"/>
      <c r="O63" s="18">
        <f>(($S63-$L63)/21*6)+$L63</f>
        <v>0.37342857142857144</v>
      </c>
      <c r="P63" s="18">
        <f>(($S63-$L63)/21*10)+$L63</f>
        <v>0.40238095238095239</v>
      </c>
      <c r="Q63" s="18">
        <f>(($S63-$L63)/21*14)+$L63</f>
        <v>0.43133333333333335</v>
      </c>
      <c r="R63" s="48">
        <f>(($S63-$L63)/21*18)+$L63</f>
        <v>0.4602857142857143</v>
      </c>
      <c r="S63" s="48">
        <v>0.48199999999999998</v>
      </c>
      <c r="T63" s="46" t="s">
        <v>385</v>
      </c>
      <c r="U63" s="2" t="s">
        <v>149</v>
      </c>
      <c r="V63" t="s">
        <v>351</v>
      </c>
      <c r="W63" t="s">
        <v>184</v>
      </c>
      <c r="X63" t="s">
        <v>184</v>
      </c>
      <c r="Y63" t="s">
        <v>184</v>
      </c>
      <c r="AA63" s="3" t="s">
        <v>246</v>
      </c>
      <c r="AC63" s="3" t="s">
        <v>246</v>
      </c>
      <c r="AD63" s="2" t="s">
        <v>70</v>
      </c>
    </row>
    <row r="64" spans="1:30" ht="45" hidden="1" x14ac:dyDescent="0.25">
      <c r="A64" s="32"/>
      <c r="B64" s="32" t="s">
        <v>4</v>
      </c>
      <c r="C64" s="32">
        <v>7</v>
      </c>
      <c r="D64" s="2" t="s">
        <v>38</v>
      </c>
      <c r="E64" s="2" t="s">
        <v>39</v>
      </c>
      <c r="F64" s="2" t="s">
        <v>326</v>
      </c>
      <c r="G64" s="5" t="s">
        <v>281</v>
      </c>
      <c r="H64" s="5" t="s">
        <v>229</v>
      </c>
      <c r="I64" s="8" t="s">
        <v>79</v>
      </c>
      <c r="J64" s="4" t="s">
        <v>72</v>
      </c>
      <c r="K64" s="2">
        <v>2018</v>
      </c>
      <c r="L64" s="12">
        <v>4.9200000000000001E-2</v>
      </c>
      <c r="M64" s="2">
        <v>2019</v>
      </c>
      <c r="N64" s="12">
        <v>7.7200000000000005E-2</v>
      </c>
      <c r="O64" s="18"/>
      <c r="P64" s="18"/>
      <c r="Q64" s="18"/>
      <c r="R64" s="48"/>
      <c r="S64" s="48"/>
      <c r="T64" s="42"/>
      <c r="U64" s="2" t="s">
        <v>150</v>
      </c>
      <c r="W64" t="s">
        <v>184</v>
      </c>
      <c r="X64" t="s">
        <v>184</v>
      </c>
      <c r="Y64" t="s">
        <v>184</v>
      </c>
      <c r="AA64" s="3" t="s">
        <v>246</v>
      </c>
      <c r="AC64" s="3" t="s">
        <v>246</v>
      </c>
      <c r="AD64" s="2" t="s">
        <v>70</v>
      </c>
    </row>
    <row r="65" spans="1:30" ht="45" hidden="1" x14ac:dyDescent="0.25">
      <c r="A65" s="32"/>
      <c r="B65" s="32" t="s">
        <v>4</v>
      </c>
      <c r="C65" s="32">
        <v>7</v>
      </c>
      <c r="D65" s="2" t="s">
        <v>38</v>
      </c>
      <c r="E65" s="2" t="s">
        <v>39</v>
      </c>
      <c r="F65" s="2" t="s">
        <v>326</v>
      </c>
      <c r="G65" s="5" t="s">
        <v>209</v>
      </c>
      <c r="H65" s="10" t="s">
        <v>65</v>
      </c>
      <c r="I65" s="8" t="s">
        <v>84</v>
      </c>
      <c r="J65" s="8" t="s">
        <v>83</v>
      </c>
      <c r="K65" s="2"/>
      <c r="L65" s="2"/>
      <c r="M65" s="2"/>
      <c r="N65" s="2"/>
      <c r="O65" s="18"/>
      <c r="P65" s="18"/>
      <c r="Q65" s="18"/>
      <c r="R65" s="4"/>
      <c r="S65" s="4"/>
      <c r="T65" s="2"/>
      <c r="U65" s="2" t="s">
        <v>150</v>
      </c>
      <c r="W65" s="3"/>
      <c r="X65" s="3"/>
      <c r="Y65" s="3"/>
      <c r="Z65" s="3"/>
      <c r="AA65" s="3" t="s">
        <v>246</v>
      </c>
      <c r="AB65" s="3"/>
      <c r="AC65" s="3" t="s">
        <v>250</v>
      </c>
      <c r="AD65" s="2" t="s">
        <v>70</v>
      </c>
    </row>
    <row r="66" spans="1:30" ht="75" hidden="1" x14ac:dyDescent="0.25">
      <c r="A66" s="32"/>
      <c r="B66" s="32" t="s">
        <v>4</v>
      </c>
      <c r="C66" s="32">
        <v>7</v>
      </c>
      <c r="D66" s="2" t="s">
        <v>38</v>
      </c>
      <c r="E66" s="2" t="s">
        <v>39</v>
      </c>
      <c r="F66" s="2" t="s">
        <v>326</v>
      </c>
      <c r="G66" s="5" t="s">
        <v>282</v>
      </c>
      <c r="H66" s="5" t="s">
        <v>125</v>
      </c>
      <c r="I66" s="5" t="s">
        <v>64</v>
      </c>
      <c r="J66" s="2" t="s">
        <v>21</v>
      </c>
      <c r="K66" s="2">
        <v>2016</v>
      </c>
      <c r="L66" s="18">
        <v>0.18099999999999999</v>
      </c>
      <c r="M66" s="2"/>
      <c r="N66" s="2"/>
      <c r="O66" s="18"/>
      <c r="P66" s="18"/>
      <c r="Q66" s="18"/>
      <c r="R66" s="4"/>
      <c r="S66" s="4"/>
      <c r="T66" s="2"/>
      <c r="U66" s="2" t="s">
        <v>150</v>
      </c>
      <c r="W66" t="s">
        <v>184</v>
      </c>
      <c r="X66" t="s">
        <v>184</v>
      </c>
      <c r="Y66" t="s">
        <v>184</v>
      </c>
      <c r="AA66" s="3" t="s">
        <v>249</v>
      </c>
      <c r="AC66" s="3" t="s">
        <v>249</v>
      </c>
      <c r="AD66" s="2"/>
    </row>
    <row r="67" spans="1:30" ht="45" hidden="1" x14ac:dyDescent="0.25">
      <c r="A67" s="32"/>
      <c r="B67" s="32" t="s">
        <v>4</v>
      </c>
      <c r="C67" s="32">
        <v>7</v>
      </c>
      <c r="D67" s="2" t="s">
        <v>38</v>
      </c>
      <c r="E67" s="2" t="s">
        <v>39</v>
      </c>
      <c r="F67" s="2" t="s">
        <v>326</v>
      </c>
      <c r="G67" s="5" t="s">
        <v>283</v>
      </c>
      <c r="H67" s="5" t="s">
        <v>239</v>
      </c>
      <c r="I67" s="5" t="s">
        <v>35</v>
      </c>
      <c r="J67" s="2" t="s">
        <v>13</v>
      </c>
      <c r="K67" s="3">
        <v>2018</v>
      </c>
      <c r="L67" s="15">
        <v>0.93</v>
      </c>
      <c r="M67" s="3">
        <v>2019</v>
      </c>
      <c r="N67" s="15">
        <v>0.93</v>
      </c>
      <c r="O67" s="18"/>
      <c r="P67" s="18"/>
      <c r="Q67" s="18"/>
      <c r="R67" s="4"/>
      <c r="S67" s="4"/>
      <c r="T67" s="2"/>
      <c r="U67" s="2" t="s">
        <v>103</v>
      </c>
      <c r="W67" t="s">
        <v>184</v>
      </c>
      <c r="X67" t="s">
        <v>184</v>
      </c>
      <c r="AA67" s="3" t="s">
        <v>246</v>
      </c>
      <c r="AC67" s="3" t="s">
        <v>250</v>
      </c>
      <c r="AD67" s="3" t="s">
        <v>70</v>
      </c>
    </row>
    <row r="68" spans="1:30" ht="45" hidden="1" x14ac:dyDescent="0.25">
      <c r="A68" s="32"/>
      <c r="B68" s="32" t="s">
        <v>4</v>
      </c>
      <c r="C68" s="32">
        <v>7</v>
      </c>
      <c r="D68" s="2" t="s">
        <v>38</v>
      </c>
      <c r="E68" s="2" t="s">
        <v>39</v>
      </c>
      <c r="F68" s="2" t="s">
        <v>326</v>
      </c>
      <c r="G68" s="5" t="s">
        <v>284</v>
      </c>
      <c r="H68" s="5" t="s">
        <v>195</v>
      </c>
      <c r="I68" s="5" t="s">
        <v>35</v>
      </c>
      <c r="J68" s="2" t="s">
        <v>19</v>
      </c>
      <c r="K68" s="3">
        <v>2018</v>
      </c>
      <c r="L68" s="15">
        <v>0.96699999999999997</v>
      </c>
      <c r="M68" s="3">
        <v>2019</v>
      </c>
      <c r="N68" s="15">
        <v>0.97</v>
      </c>
      <c r="O68" s="18"/>
      <c r="P68" s="18"/>
      <c r="Q68" s="18"/>
      <c r="R68" s="4"/>
      <c r="S68" s="4"/>
      <c r="T68" s="2"/>
      <c r="U68" s="2" t="s">
        <v>150</v>
      </c>
      <c r="W68" t="s">
        <v>184</v>
      </c>
      <c r="AA68" s="3" t="s">
        <v>246</v>
      </c>
      <c r="AC68" s="3" t="s">
        <v>246</v>
      </c>
      <c r="AD68" s="3"/>
    </row>
    <row r="69" spans="1:30" ht="45" hidden="1" x14ac:dyDescent="0.25">
      <c r="A69" s="32"/>
      <c r="B69" s="32" t="s">
        <v>4</v>
      </c>
      <c r="C69" s="32">
        <v>7</v>
      </c>
      <c r="D69" s="2" t="s">
        <v>38</v>
      </c>
      <c r="E69" s="2" t="s">
        <v>39</v>
      </c>
      <c r="F69" s="2" t="s">
        <v>326</v>
      </c>
      <c r="G69" s="5" t="s">
        <v>196</v>
      </c>
      <c r="H69" s="5" t="s">
        <v>155</v>
      </c>
      <c r="I69" s="5" t="s">
        <v>35</v>
      </c>
      <c r="J69" s="2" t="s">
        <v>18</v>
      </c>
      <c r="K69" s="3">
        <v>2018</v>
      </c>
      <c r="L69" s="3">
        <v>5.27</v>
      </c>
      <c r="M69" s="3">
        <v>2019</v>
      </c>
      <c r="N69" s="3">
        <v>5.6</v>
      </c>
      <c r="O69" s="18"/>
      <c r="P69" s="18"/>
      <c r="Q69" s="18"/>
      <c r="R69" s="53"/>
      <c r="S69" s="53">
        <f>L69*1.05</f>
        <v>5.5335000000000001</v>
      </c>
      <c r="T69" s="43" t="s">
        <v>354</v>
      </c>
      <c r="U69" s="2" t="s">
        <v>150</v>
      </c>
      <c r="W69" t="s">
        <v>184</v>
      </c>
      <c r="X69" t="s">
        <v>184</v>
      </c>
      <c r="AA69" s="3" t="s">
        <v>249</v>
      </c>
      <c r="AC69" s="3" t="s">
        <v>250</v>
      </c>
      <c r="AD69" s="3" t="s">
        <v>70</v>
      </c>
    </row>
    <row r="70" spans="1:30" ht="45" hidden="1" x14ac:dyDescent="0.25">
      <c r="A70" s="32"/>
      <c r="B70" s="32" t="s">
        <v>4</v>
      </c>
      <c r="C70" s="32">
        <v>7</v>
      </c>
      <c r="D70" s="2" t="s">
        <v>38</v>
      </c>
      <c r="E70" s="2" t="s">
        <v>39</v>
      </c>
      <c r="F70" s="2" t="s">
        <v>326</v>
      </c>
      <c r="G70" s="5" t="s">
        <v>230</v>
      </c>
      <c r="H70" s="8" t="s">
        <v>65</v>
      </c>
      <c r="I70" s="5"/>
      <c r="J70" s="4" t="s">
        <v>21</v>
      </c>
      <c r="K70" s="3"/>
      <c r="L70" s="2"/>
      <c r="M70" s="2"/>
      <c r="N70" s="2"/>
      <c r="O70" s="18"/>
      <c r="P70" s="18"/>
      <c r="Q70" s="18"/>
      <c r="R70" s="4"/>
      <c r="S70" s="4"/>
      <c r="T70" s="2"/>
      <c r="U70" s="2" t="s">
        <v>103</v>
      </c>
      <c r="W70" s="3" t="s">
        <v>184</v>
      </c>
      <c r="X70" s="3" t="s">
        <v>184</v>
      </c>
      <c r="Y70" s="3" t="s">
        <v>184</v>
      </c>
      <c r="Z70" s="3"/>
      <c r="AA70" s="3" t="s">
        <v>249</v>
      </c>
      <c r="AB70" s="3"/>
      <c r="AC70" s="3" t="s">
        <v>250</v>
      </c>
      <c r="AD70" s="3" t="s">
        <v>70</v>
      </c>
    </row>
    <row r="71" spans="1:30" ht="60" hidden="1" x14ac:dyDescent="0.25">
      <c r="A71" s="32"/>
      <c r="B71" s="32" t="s">
        <v>4</v>
      </c>
      <c r="C71" s="32">
        <v>7</v>
      </c>
      <c r="D71" s="2" t="s">
        <v>38</v>
      </c>
      <c r="E71" s="2" t="s">
        <v>39</v>
      </c>
      <c r="F71" s="2" t="s">
        <v>326</v>
      </c>
      <c r="G71" s="5" t="s">
        <v>231</v>
      </c>
      <c r="H71" s="5" t="s">
        <v>217</v>
      </c>
      <c r="I71" s="5" t="s">
        <v>67</v>
      </c>
      <c r="J71" s="4" t="s">
        <v>72</v>
      </c>
      <c r="K71" s="3"/>
      <c r="L71" s="2"/>
      <c r="M71" s="2"/>
      <c r="N71" s="2"/>
      <c r="O71" s="18"/>
      <c r="P71" s="18"/>
      <c r="Q71" s="18"/>
      <c r="R71" s="4"/>
      <c r="S71" s="4"/>
      <c r="T71" s="2"/>
      <c r="U71" s="2" t="s">
        <v>103</v>
      </c>
      <c r="W71" s="3" t="s">
        <v>207</v>
      </c>
      <c r="X71" s="3" t="s">
        <v>207</v>
      </c>
      <c r="Y71" s="3" t="s">
        <v>207</v>
      </c>
      <c r="Z71" s="3"/>
      <c r="AA71" s="3" t="s">
        <v>246</v>
      </c>
      <c r="AB71" s="3"/>
      <c r="AC71" s="3" t="s">
        <v>250</v>
      </c>
      <c r="AD71" s="3" t="s">
        <v>70</v>
      </c>
    </row>
    <row r="72" spans="1:30" ht="75" hidden="1" x14ac:dyDescent="0.25">
      <c r="A72" s="32"/>
      <c r="B72" s="32" t="s">
        <v>4</v>
      </c>
      <c r="C72" s="32">
        <v>8</v>
      </c>
      <c r="D72" s="2" t="s">
        <v>40</v>
      </c>
      <c r="E72" s="2" t="s">
        <v>41</v>
      </c>
      <c r="F72" s="2" t="s">
        <v>253</v>
      </c>
      <c r="G72" s="5" t="s">
        <v>240</v>
      </c>
      <c r="H72" s="8" t="s">
        <v>65</v>
      </c>
      <c r="I72" s="5" t="s">
        <v>35</v>
      </c>
      <c r="J72" s="2" t="s">
        <v>13</v>
      </c>
      <c r="K72" s="2"/>
      <c r="L72" s="2"/>
      <c r="M72" s="2"/>
      <c r="N72" s="2"/>
      <c r="O72" s="18"/>
      <c r="P72" s="18"/>
      <c r="Q72" s="18"/>
      <c r="R72" s="4"/>
      <c r="S72" s="4"/>
      <c r="T72" s="2"/>
      <c r="U72" s="2" t="s">
        <v>103</v>
      </c>
      <c r="W72" s="3"/>
      <c r="X72" s="3" t="s">
        <v>184</v>
      </c>
      <c r="Y72" s="3"/>
      <c r="Z72" s="3"/>
      <c r="AA72" s="3" t="s">
        <v>246</v>
      </c>
      <c r="AB72" s="3"/>
      <c r="AC72" s="3" t="s">
        <v>250</v>
      </c>
      <c r="AD72" s="2"/>
    </row>
    <row r="73" spans="1:30" ht="60" hidden="1" x14ac:dyDescent="0.25">
      <c r="A73" s="32"/>
      <c r="B73" s="32" t="s">
        <v>4</v>
      </c>
      <c r="C73" s="32">
        <v>8</v>
      </c>
      <c r="D73" s="2" t="s">
        <v>40</v>
      </c>
      <c r="E73" s="2" t="s">
        <v>41</v>
      </c>
      <c r="F73" s="2" t="s">
        <v>253</v>
      </c>
      <c r="G73" s="5" t="s">
        <v>156</v>
      </c>
      <c r="H73" s="5" t="s">
        <v>157</v>
      </c>
      <c r="I73" s="8"/>
      <c r="J73" s="4" t="s">
        <v>72</v>
      </c>
      <c r="K73" s="2"/>
      <c r="L73" s="2"/>
      <c r="M73" s="2"/>
      <c r="N73" s="2"/>
      <c r="O73" s="18"/>
      <c r="P73" s="18"/>
      <c r="Q73" s="18"/>
      <c r="R73" s="4"/>
      <c r="S73" s="4"/>
      <c r="T73" s="2"/>
      <c r="U73" s="2" t="s">
        <v>150</v>
      </c>
      <c r="W73" s="3"/>
      <c r="X73" s="3"/>
      <c r="Y73" s="3"/>
      <c r="Z73" s="3"/>
      <c r="AA73" s="3" t="s">
        <v>246</v>
      </c>
      <c r="AB73" s="3"/>
      <c r="AC73" s="3" t="s">
        <v>250</v>
      </c>
      <c r="AD73" s="2"/>
    </row>
    <row r="74" spans="1:30" ht="60" x14ac:dyDescent="0.25">
      <c r="A74" s="32" t="s">
        <v>455</v>
      </c>
      <c r="B74" s="32" t="s">
        <v>4</v>
      </c>
      <c r="C74" s="32">
        <v>8</v>
      </c>
      <c r="D74" s="2" t="s">
        <v>40</v>
      </c>
      <c r="E74" s="2" t="s">
        <v>438</v>
      </c>
      <c r="F74" s="2" t="s">
        <v>253</v>
      </c>
      <c r="G74" s="5" t="s">
        <v>413</v>
      </c>
      <c r="H74" s="5" t="s">
        <v>349</v>
      </c>
      <c r="I74" s="5" t="s">
        <v>72</v>
      </c>
      <c r="J74" s="4" t="s">
        <v>348</v>
      </c>
      <c r="K74" s="3" t="s">
        <v>358</v>
      </c>
      <c r="L74" s="40">
        <v>46.94</v>
      </c>
      <c r="M74" s="3"/>
      <c r="N74" s="3"/>
      <c r="O74" s="40">
        <f t="shared" ref="O74:O75" si="4">(($S74-$L74)/21*6)+$L74</f>
        <v>47.610571428571426</v>
      </c>
      <c r="P74" s="40">
        <f t="shared" ref="P74:P75" si="5">(($S74-$L74)/21*10)+$L74</f>
        <v>48.057619047619049</v>
      </c>
      <c r="Q74" s="40">
        <f t="shared" ref="Q74:Q75" si="6">(($S74-$L74)/21*14)+$L74</f>
        <v>48.504666666666665</v>
      </c>
      <c r="R74" s="53">
        <f t="shared" ref="R74:R75" si="7">(($S74-$L74)/21*18)+$L74</f>
        <v>48.951714285714282</v>
      </c>
      <c r="S74" s="53">
        <f>L74*1.05</f>
        <v>49.286999999999999</v>
      </c>
      <c r="T74" s="43" t="s">
        <v>354</v>
      </c>
      <c r="U74" s="2" t="s">
        <v>149</v>
      </c>
      <c r="V74" t="s">
        <v>351</v>
      </c>
      <c r="W74" s="3"/>
      <c r="X74" s="3"/>
      <c r="Y74" s="3"/>
      <c r="Z74" s="3"/>
      <c r="AA74" s="3" t="s">
        <v>246</v>
      </c>
      <c r="AB74" s="3"/>
      <c r="AC74" s="3" t="s">
        <v>246</v>
      </c>
      <c r="AD74" s="2" t="s">
        <v>85</v>
      </c>
    </row>
    <row r="75" spans="1:30" ht="60" x14ac:dyDescent="0.25">
      <c r="A75" s="32" t="s">
        <v>456</v>
      </c>
      <c r="B75" s="32" t="s">
        <v>4</v>
      </c>
      <c r="C75" s="32">
        <v>8</v>
      </c>
      <c r="D75" s="2" t="s">
        <v>40</v>
      </c>
      <c r="E75" s="2" t="s">
        <v>438</v>
      </c>
      <c r="F75" s="2" t="s">
        <v>253</v>
      </c>
      <c r="G75" s="5" t="s">
        <v>414</v>
      </c>
      <c r="H75" s="5" t="s">
        <v>395</v>
      </c>
      <c r="I75" s="5" t="s">
        <v>35</v>
      </c>
      <c r="J75" s="2" t="s">
        <v>151</v>
      </c>
      <c r="K75" s="2">
        <v>2018</v>
      </c>
      <c r="L75" s="2">
        <v>71</v>
      </c>
      <c r="M75" s="2">
        <v>2019</v>
      </c>
      <c r="N75" s="2">
        <v>71</v>
      </c>
      <c r="O75" s="41">
        <f t="shared" si="4"/>
        <v>73.285714285714292</v>
      </c>
      <c r="P75" s="41">
        <f t="shared" si="5"/>
        <v>74.80952380952381</v>
      </c>
      <c r="Q75" s="41">
        <f t="shared" si="6"/>
        <v>76.333333333333329</v>
      </c>
      <c r="R75" s="52">
        <f t="shared" si="7"/>
        <v>77.857142857142861</v>
      </c>
      <c r="S75" s="52">
        <v>79</v>
      </c>
      <c r="T75" s="46" t="s">
        <v>378</v>
      </c>
      <c r="U75" s="2" t="s">
        <v>149</v>
      </c>
      <c r="V75" t="s">
        <v>351</v>
      </c>
      <c r="W75" t="s">
        <v>184</v>
      </c>
      <c r="X75" t="s">
        <v>184</v>
      </c>
      <c r="AA75" s="3" t="s">
        <v>246</v>
      </c>
      <c r="AC75" s="3" t="s">
        <v>246</v>
      </c>
      <c r="AD75" s="2" t="s">
        <v>70</v>
      </c>
    </row>
    <row r="76" spans="1:30" ht="60" hidden="1" x14ac:dyDescent="0.25">
      <c r="A76" s="32"/>
      <c r="B76" s="32" t="s">
        <v>4</v>
      </c>
      <c r="C76" s="32">
        <v>8</v>
      </c>
      <c r="D76" s="2" t="s">
        <v>40</v>
      </c>
      <c r="E76" s="2" t="s">
        <v>41</v>
      </c>
      <c r="F76" s="2" t="s">
        <v>253</v>
      </c>
      <c r="G76" s="5" t="s">
        <v>286</v>
      </c>
      <c r="H76" s="5" t="s">
        <v>285</v>
      </c>
      <c r="I76" s="5" t="s">
        <v>35</v>
      </c>
      <c r="J76" s="2" t="s">
        <v>13</v>
      </c>
      <c r="K76" s="2">
        <v>2018</v>
      </c>
      <c r="L76" s="18">
        <v>0.60299999999999998</v>
      </c>
      <c r="M76" s="2">
        <v>2019</v>
      </c>
      <c r="N76" s="18">
        <v>0.57399999999999995</v>
      </c>
      <c r="O76" s="18"/>
      <c r="P76" s="18"/>
      <c r="Q76" s="18"/>
      <c r="R76" s="4"/>
      <c r="S76" s="4"/>
      <c r="T76" s="2"/>
      <c r="U76" s="2" t="s">
        <v>150</v>
      </c>
      <c r="W76" t="s">
        <v>184</v>
      </c>
      <c r="X76" t="s">
        <v>184</v>
      </c>
      <c r="AA76" s="3" t="s">
        <v>246</v>
      </c>
      <c r="AC76" s="3" t="s">
        <v>246</v>
      </c>
      <c r="AD76" s="2" t="s">
        <v>70</v>
      </c>
    </row>
    <row r="77" spans="1:30" ht="60" hidden="1" x14ac:dyDescent="0.25">
      <c r="A77" s="32"/>
      <c r="B77" s="32" t="s">
        <v>4</v>
      </c>
      <c r="C77" s="32">
        <v>8</v>
      </c>
      <c r="D77" s="2" t="s">
        <v>40</v>
      </c>
      <c r="E77" s="2" t="s">
        <v>41</v>
      </c>
      <c r="F77" s="2" t="s">
        <v>253</v>
      </c>
      <c r="G77" s="5" t="s">
        <v>307</v>
      </c>
      <c r="H77" s="5" t="s">
        <v>296</v>
      </c>
      <c r="I77" s="5" t="s">
        <v>35</v>
      </c>
      <c r="J77" s="2" t="s">
        <v>80</v>
      </c>
      <c r="K77" s="2">
        <v>2018</v>
      </c>
      <c r="L77" s="2">
        <v>76</v>
      </c>
      <c r="M77" s="2">
        <v>2019</v>
      </c>
      <c r="N77" s="2">
        <v>78</v>
      </c>
      <c r="O77" s="18"/>
      <c r="P77" s="18"/>
      <c r="Q77" s="18"/>
      <c r="R77" s="4"/>
      <c r="S77" s="4"/>
      <c r="T77" s="2"/>
      <c r="U77" s="2" t="s">
        <v>150</v>
      </c>
      <c r="W77" t="s">
        <v>184</v>
      </c>
      <c r="X77" t="s">
        <v>184</v>
      </c>
      <c r="Y77" t="s">
        <v>184</v>
      </c>
      <c r="AA77" s="3" t="s">
        <v>246</v>
      </c>
      <c r="AC77" s="3" t="s">
        <v>246</v>
      </c>
      <c r="AD77" s="2" t="s">
        <v>71</v>
      </c>
    </row>
    <row r="78" spans="1:30" ht="60" hidden="1" x14ac:dyDescent="0.25">
      <c r="A78" s="32"/>
      <c r="B78" s="32" t="s">
        <v>4</v>
      </c>
      <c r="C78" s="32">
        <v>8</v>
      </c>
      <c r="D78" s="2" t="s">
        <v>40</v>
      </c>
      <c r="E78" s="2" t="s">
        <v>41</v>
      </c>
      <c r="F78" s="2" t="s">
        <v>253</v>
      </c>
      <c r="G78" s="5" t="s">
        <v>232</v>
      </c>
      <c r="H78" s="8" t="s">
        <v>65</v>
      </c>
      <c r="I78" s="16" t="s">
        <v>126</v>
      </c>
      <c r="J78" s="2" t="s">
        <v>16</v>
      </c>
      <c r="K78" s="2"/>
      <c r="L78" s="2"/>
      <c r="M78" s="2"/>
      <c r="N78" s="2"/>
      <c r="O78" s="18"/>
      <c r="P78" s="18"/>
      <c r="Q78" s="18"/>
      <c r="R78" s="4"/>
      <c r="S78" s="4"/>
      <c r="T78" s="2"/>
      <c r="U78" s="2" t="s">
        <v>150</v>
      </c>
      <c r="W78" s="3"/>
      <c r="X78" s="3"/>
      <c r="Y78" s="3" t="s">
        <v>184</v>
      </c>
      <c r="Z78" s="3"/>
      <c r="AA78" s="3" t="s">
        <v>246</v>
      </c>
      <c r="AB78" s="3"/>
      <c r="AC78" s="3" t="s">
        <v>246</v>
      </c>
      <c r="AD78" s="2" t="s">
        <v>71</v>
      </c>
    </row>
    <row r="79" spans="1:30" ht="135" hidden="1" x14ac:dyDescent="0.25">
      <c r="A79" s="32"/>
      <c r="B79" s="32" t="s">
        <v>4</v>
      </c>
      <c r="C79" s="32">
        <v>9</v>
      </c>
      <c r="D79" s="2" t="s">
        <v>42</v>
      </c>
      <c r="E79" s="2" t="s">
        <v>43</v>
      </c>
      <c r="F79" s="2" t="s">
        <v>327</v>
      </c>
      <c r="G79" s="5" t="s">
        <v>197</v>
      </c>
      <c r="H79" s="8" t="s">
        <v>65</v>
      </c>
      <c r="I79" s="5" t="s">
        <v>64</v>
      </c>
      <c r="J79" s="2" t="s">
        <v>21</v>
      </c>
      <c r="K79" s="2"/>
      <c r="L79" s="2"/>
      <c r="M79" s="2"/>
      <c r="N79" s="2"/>
      <c r="O79" s="18"/>
      <c r="P79" s="18"/>
      <c r="Q79" s="18"/>
      <c r="R79" s="4"/>
      <c r="S79" s="4"/>
      <c r="T79" s="2"/>
      <c r="U79" s="2" t="s">
        <v>103</v>
      </c>
      <c r="W79" s="3" t="s">
        <v>207</v>
      </c>
      <c r="X79" s="3" t="s">
        <v>207</v>
      </c>
      <c r="Y79" s="3"/>
      <c r="Z79" s="3"/>
      <c r="AA79" s="3" t="s">
        <v>246</v>
      </c>
      <c r="AB79" s="3"/>
      <c r="AC79" s="3" t="s">
        <v>247</v>
      </c>
      <c r="AD79" s="2"/>
    </row>
    <row r="80" spans="1:30" ht="45" x14ac:dyDescent="0.25">
      <c r="A80" s="32" t="s">
        <v>457</v>
      </c>
      <c r="B80" s="32" t="s">
        <v>4</v>
      </c>
      <c r="C80" s="32">
        <v>9</v>
      </c>
      <c r="D80" s="2" t="s">
        <v>42</v>
      </c>
      <c r="E80" s="2" t="s">
        <v>43</v>
      </c>
      <c r="F80" s="2" t="s">
        <v>327</v>
      </c>
      <c r="G80" s="5" t="s">
        <v>415</v>
      </c>
      <c r="H80" s="29" t="s">
        <v>402</v>
      </c>
      <c r="I80" s="5"/>
      <c r="J80" s="4" t="s">
        <v>72</v>
      </c>
      <c r="K80" s="2">
        <v>2018</v>
      </c>
      <c r="L80" s="18">
        <f>1/6</f>
        <v>0.16666666666666666</v>
      </c>
      <c r="M80" s="2"/>
      <c r="N80" s="2"/>
      <c r="O80" s="18">
        <f t="shared" ref="O80:O83" si="8">(($S80-$L80)/21*6)+$L80</f>
        <v>0.40476190476190477</v>
      </c>
      <c r="P80" s="18">
        <f t="shared" ref="P80:P83" si="9">(($S80-$L80)/21*10)+$L80</f>
        <v>0.56349206349206349</v>
      </c>
      <c r="Q80" s="18">
        <f t="shared" ref="Q80:Q83" si="10">(($S80-$L80)/21*14)+$L80</f>
        <v>0.72222222222222221</v>
      </c>
      <c r="R80" s="50">
        <f t="shared" ref="R80:R83" si="11">(($S80-$L80)/21*18)+$L80</f>
        <v>0.88095238095238104</v>
      </c>
      <c r="S80" s="50">
        <v>1</v>
      </c>
      <c r="T80" s="2"/>
      <c r="U80" s="2" t="s">
        <v>149</v>
      </c>
      <c r="V80" s="2"/>
      <c r="W80" t="s">
        <v>184</v>
      </c>
      <c r="AA80" s="3" t="s">
        <v>246</v>
      </c>
      <c r="AC80" s="3" t="s">
        <v>250</v>
      </c>
      <c r="AD80" s="2" t="s">
        <v>71</v>
      </c>
    </row>
    <row r="81" spans="1:30" ht="60" x14ac:dyDescent="0.25">
      <c r="A81" s="57" t="s">
        <v>458</v>
      </c>
      <c r="B81" s="49" t="s">
        <v>5</v>
      </c>
      <c r="C81" s="49">
        <v>10</v>
      </c>
      <c r="D81" s="2" t="s">
        <v>44</v>
      </c>
      <c r="E81" s="2" t="s">
        <v>45</v>
      </c>
      <c r="F81" s="2" t="s">
        <v>254</v>
      </c>
      <c r="G81" s="5" t="s">
        <v>416</v>
      </c>
      <c r="H81" s="5" t="s">
        <v>128</v>
      </c>
      <c r="I81" s="5" t="s">
        <v>64</v>
      </c>
      <c r="J81" s="8" t="s">
        <v>439</v>
      </c>
      <c r="K81" s="2">
        <v>2018</v>
      </c>
      <c r="L81" s="18">
        <v>0.76100000000000001</v>
      </c>
      <c r="M81" s="2"/>
      <c r="N81" s="2"/>
      <c r="O81" s="18">
        <f t="shared" si="8"/>
        <v>0.80071428571428571</v>
      </c>
      <c r="P81" s="18">
        <f t="shared" si="9"/>
        <v>0.82719047619047625</v>
      </c>
      <c r="Q81" s="18">
        <f t="shared" si="10"/>
        <v>0.85366666666666668</v>
      </c>
      <c r="R81" s="48">
        <f t="shared" si="11"/>
        <v>0.88014285714285712</v>
      </c>
      <c r="S81" s="48">
        <v>0.9</v>
      </c>
      <c r="T81" s="46" t="s">
        <v>386</v>
      </c>
      <c r="U81" s="2" t="s">
        <v>149</v>
      </c>
      <c r="V81" t="s">
        <v>351</v>
      </c>
      <c r="W81" s="3"/>
      <c r="X81" s="3"/>
      <c r="Y81" s="3"/>
      <c r="Z81" s="3"/>
      <c r="AA81" s="3" t="s">
        <v>246</v>
      </c>
      <c r="AB81" s="3"/>
      <c r="AC81" s="3" t="s">
        <v>246</v>
      </c>
      <c r="AD81" s="2" t="s">
        <v>70</v>
      </c>
    </row>
    <row r="82" spans="1:30" ht="45" x14ac:dyDescent="0.25">
      <c r="A82" s="57" t="s">
        <v>459</v>
      </c>
      <c r="B82" s="49" t="s">
        <v>5</v>
      </c>
      <c r="C82" s="49">
        <v>10</v>
      </c>
      <c r="D82" s="2" t="s">
        <v>44</v>
      </c>
      <c r="E82" s="2" t="s">
        <v>45</v>
      </c>
      <c r="F82" s="2" t="s">
        <v>254</v>
      </c>
      <c r="G82" s="5" t="s">
        <v>417</v>
      </c>
      <c r="H82" s="5" t="s">
        <v>323</v>
      </c>
      <c r="I82" s="5"/>
      <c r="J82" s="2" t="s">
        <v>436</v>
      </c>
      <c r="K82" s="2">
        <v>2016</v>
      </c>
      <c r="L82" s="18">
        <v>0.23599999999999999</v>
      </c>
      <c r="M82" s="2"/>
      <c r="N82" s="2"/>
      <c r="O82" s="18">
        <f t="shared" si="8"/>
        <v>0.31171428571428572</v>
      </c>
      <c r="P82" s="18">
        <f t="shared" si="9"/>
        <v>0.36219047619047617</v>
      </c>
      <c r="Q82" s="18">
        <f t="shared" si="10"/>
        <v>0.41266666666666668</v>
      </c>
      <c r="R82" s="48">
        <f t="shared" si="11"/>
        <v>0.46314285714285713</v>
      </c>
      <c r="S82" s="48">
        <v>0.501</v>
      </c>
      <c r="T82" s="39" t="s">
        <v>356</v>
      </c>
      <c r="U82" s="2" t="s">
        <v>149</v>
      </c>
      <c r="V82" t="s">
        <v>351</v>
      </c>
      <c r="W82" t="s">
        <v>184</v>
      </c>
      <c r="X82" t="s">
        <v>184</v>
      </c>
      <c r="Y82" t="s">
        <v>184</v>
      </c>
      <c r="Z82" s="3"/>
      <c r="AA82" s="3" t="s">
        <v>246</v>
      </c>
      <c r="AB82" s="3"/>
      <c r="AC82" s="3" t="s">
        <v>246</v>
      </c>
      <c r="AD82" s="2" t="s">
        <v>70</v>
      </c>
    </row>
    <row r="83" spans="1:30" ht="45" x14ac:dyDescent="0.25">
      <c r="A83" s="57" t="s">
        <v>460</v>
      </c>
      <c r="B83" s="49" t="s">
        <v>5</v>
      </c>
      <c r="C83" s="49">
        <v>10</v>
      </c>
      <c r="D83" s="2" t="s">
        <v>44</v>
      </c>
      <c r="E83" s="2" t="s">
        <v>45</v>
      </c>
      <c r="F83" s="2" t="s">
        <v>254</v>
      </c>
      <c r="G83" s="5" t="s">
        <v>492</v>
      </c>
      <c r="H83" s="5" t="s">
        <v>396</v>
      </c>
      <c r="I83" s="5"/>
      <c r="J83" s="2" t="s">
        <v>436</v>
      </c>
      <c r="K83" s="2">
        <v>2016</v>
      </c>
      <c r="L83" s="18">
        <v>0.1104</v>
      </c>
      <c r="M83" s="2"/>
      <c r="N83" s="2"/>
      <c r="O83" s="18">
        <f t="shared" si="8"/>
        <v>0.11197714285714286</v>
      </c>
      <c r="P83" s="18">
        <f t="shared" si="9"/>
        <v>0.11302857142857144</v>
      </c>
      <c r="Q83" s="18">
        <f t="shared" si="10"/>
        <v>0.11408</v>
      </c>
      <c r="R83" s="48">
        <f t="shared" si="11"/>
        <v>0.11513142857142858</v>
      </c>
      <c r="S83" s="48">
        <f>L83*1.05</f>
        <v>0.11592000000000001</v>
      </c>
      <c r="T83" s="43" t="s">
        <v>354</v>
      </c>
      <c r="U83" s="2" t="s">
        <v>149</v>
      </c>
      <c r="V83" t="s">
        <v>351</v>
      </c>
      <c r="Z83" s="3"/>
      <c r="AA83" s="3"/>
      <c r="AB83" s="3"/>
      <c r="AC83" s="3"/>
      <c r="AD83" s="2"/>
    </row>
    <row r="84" spans="1:30" ht="60" hidden="1" x14ac:dyDescent="0.25">
      <c r="A84" s="57"/>
      <c r="B84" s="49" t="s">
        <v>5</v>
      </c>
      <c r="C84" s="49">
        <v>10</v>
      </c>
      <c r="D84" s="2" t="s">
        <v>44</v>
      </c>
      <c r="E84" s="2" t="s">
        <v>45</v>
      </c>
      <c r="F84" s="2" t="s">
        <v>254</v>
      </c>
      <c r="G84" s="5" t="s">
        <v>241</v>
      </c>
      <c r="H84" s="5" t="s">
        <v>130</v>
      </c>
      <c r="I84" s="5" t="s">
        <v>86</v>
      </c>
      <c r="J84" s="2" t="s">
        <v>13</v>
      </c>
      <c r="K84" s="2">
        <v>2018</v>
      </c>
      <c r="L84" s="18">
        <v>0.33300000000000002</v>
      </c>
      <c r="M84" s="2">
        <v>2019</v>
      </c>
      <c r="N84" s="18">
        <v>0.32600000000000001</v>
      </c>
      <c r="O84" s="18"/>
      <c r="P84" s="18"/>
      <c r="Q84" s="18"/>
      <c r="R84" s="4"/>
      <c r="S84" s="4"/>
      <c r="T84" s="2"/>
      <c r="U84" s="2" t="s">
        <v>153</v>
      </c>
      <c r="W84" t="s">
        <v>184</v>
      </c>
      <c r="X84" t="s">
        <v>184</v>
      </c>
      <c r="Y84" t="s">
        <v>207</v>
      </c>
      <c r="AA84" s="3" t="s">
        <v>246</v>
      </c>
      <c r="AC84" s="3" t="s">
        <v>250</v>
      </c>
      <c r="AD84" s="2" t="s">
        <v>70</v>
      </c>
    </row>
    <row r="85" spans="1:30" ht="60" hidden="1" x14ac:dyDescent="0.25">
      <c r="A85" s="57"/>
      <c r="B85" s="49" t="s">
        <v>5</v>
      </c>
      <c r="C85" s="49">
        <v>10</v>
      </c>
      <c r="D85" s="2" t="s">
        <v>44</v>
      </c>
      <c r="E85" s="2" t="s">
        <v>45</v>
      </c>
      <c r="F85" s="2" t="s">
        <v>254</v>
      </c>
      <c r="G85" s="5" t="s">
        <v>370</v>
      </c>
      <c r="H85" s="5" t="s">
        <v>127</v>
      </c>
      <c r="I85" s="5" t="s">
        <v>64</v>
      </c>
      <c r="J85" s="2" t="s">
        <v>21</v>
      </c>
      <c r="K85" s="2">
        <v>2016</v>
      </c>
      <c r="L85" s="18">
        <v>0.19500000000000001</v>
      </c>
      <c r="M85" s="2"/>
      <c r="N85" s="2"/>
      <c r="O85" s="18"/>
      <c r="P85" s="18"/>
      <c r="Q85" s="18"/>
      <c r="R85" s="4"/>
      <c r="S85" s="4"/>
      <c r="T85" s="2"/>
      <c r="U85" s="2" t="s">
        <v>150</v>
      </c>
      <c r="W85" t="s">
        <v>184</v>
      </c>
      <c r="X85" t="s">
        <v>184</v>
      </c>
      <c r="Y85" t="s">
        <v>184</v>
      </c>
      <c r="AA85" s="3" t="s">
        <v>246</v>
      </c>
      <c r="AC85" s="3" t="s">
        <v>250</v>
      </c>
      <c r="AD85" s="2" t="s">
        <v>70</v>
      </c>
    </row>
    <row r="86" spans="1:30" ht="75" hidden="1" x14ac:dyDescent="0.25">
      <c r="A86" s="57"/>
      <c r="B86" s="49" t="s">
        <v>5</v>
      </c>
      <c r="C86" s="49">
        <v>10</v>
      </c>
      <c r="D86" s="2" t="s">
        <v>44</v>
      </c>
      <c r="E86" s="2" t="s">
        <v>45</v>
      </c>
      <c r="F86" s="2" t="s">
        <v>254</v>
      </c>
      <c r="G86" s="5" t="s">
        <v>373</v>
      </c>
      <c r="H86" s="5" t="s">
        <v>372</v>
      </c>
      <c r="I86" s="5" t="s">
        <v>374</v>
      </c>
      <c r="J86" s="2" t="s">
        <v>371</v>
      </c>
      <c r="K86" s="2"/>
      <c r="L86" s="18"/>
      <c r="M86" s="2"/>
      <c r="N86" s="2"/>
      <c r="O86" s="18"/>
      <c r="P86" s="18"/>
      <c r="Q86" s="18"/>
      <c r="R86" s="4"/>
      <c r="S86" s="4"/>
      <c r="T86" s="2"/>
      <c r="U86" s="2"/>
      <c r="AA86" s="3"/>
      <c r="AC86" s="3"/>
      <c r="AD86" s="2"/>
    </row>
    <row r="87" spans="1:30" ht="180" hidden="1" x14ac:dyDescent="0.25">
      <c r="A87" s="57"/>
      <c r="B87" s="49" t="s">
        <v>5</v>
      </c>
      <c r="C87" s="49">
        <v>10</v>
      </c>
      <c r="D87" s="2" t="s">
        <v>44</v>
      </c>
      <c r="E87" s="2" t="s">
        <v>45</v>
      </c>
      <c r="F87" s="2" t="s">
        <v>254</v>
      </c>
      <c r="G87" s="5" t="s">
        <v>22</v>
      </c>
      <c r="H87" s="7"/>
      <c r="I87" s="5" t="s">
        <v>64</v>
      </c>
      <c r="J87" s="2"/>
      <c r="K87" s="2"/>
      <c r="L87" s="2"/>
      <c r="M87" s="2"/>
      <c r="N87" s="2"/>
      <c r="O87" s="18"/>
      <c r="P87" s="18"/>
      <c r="Q87" s="18"/>
      <c r="R87" s="4"/>
      <c r="S87" s="4"/>
      <c r="T87" s="2"/>
      <c r="U87" s="2" t="s">
        <v>103</v>
      </c>
      <c r="W87" s="3"/>
      <c r="X87" s="3"/>
      <c r="Y87" s="3"/>
      <c r="Z87" s="3"/>
      <c r="AA87" s="3" t="s">
        <v>246</v>
      </c>
      <c r="AB87" s="3"/>
      <c r="AC87" s="3" t="s">
        <v>247</v>
      </c>
      <c r="AD87" s="2"/>
    </row>
    <row r="88" spans="1:30" ht="60" hidden="1" x14ac:dyDescent="0.25">
      <c r="A88" s="57"/>
      <c r="B88" s="49" t="s">
        <v>5</v>
      </c>
      <c r="C88" s="49">
        <v>10</v>
      </c>
      <c r="D88" s="2" t="s">
        <v>44</v>
      </c>
      <c r="E88" s="2" t="s">
        <v>45</v>
      </c>
      <c r="F88" s="2" t="s">
        <v>254</v>
      </c>
      <c r="G88" s="5" t="s">
        <v>234</v>
      </c>
      <c r="H88" s="5" t="s">
        <v>109</v>
      </c>
      <c r="I88" s="5" t="s">
        <v>35</v>
      </c>
      <c r="J88" s="2" t="s">
        <v>13</v>
      </c>
      <c r="K88" s="2">
        <v>2018</v>
      </c>
      <c r="L88" s="18">
        <v>0.77400000000000002</v>
      </c>
      <c r="M88" s="2">
        <v>2019</v>
      </c>
      <c r="N88" s="18">
        <v>0.80900000000000005</v>
      </c>
      <c r="O88" s="18"/>
      <c r="P88" s="18"/>
      <c r="Q88" s="18"/>
      <c r="R88" s="4"/>
      <c r="S88" s="4"/>
      <c r="T88" s="2"/>
      <c r="U88" s="2" t="s">
        <v>150</v>
      </c>
      <c r="W88" t="s">
        <v>184</v>
      </c>
      <c r="X88" t="s">
        <v>184</v>
      </c>
      <c r="Y88" t="s">
        <v>184</v>
      </c>
      <c r="AA88" s="3" t="s">
        <v>246</v>
      </c>
      <c r="AC88" s="3" t="s">
        <v>250</v>
      </c>
      <c r="AD88" s="2" t="s">
        <v>70</v>
      </c>
    </row>
    <row r="89" spans="1:30" ht="45" hidden="1" x14ac:dyDescent="0.25">
      <c r="A89" s="57"/>
      <c r="B89" s="49" t="s">
        <v>5</v>
      </c>
      <c r="C89" s="49">
        <v>10</v>
      </c>
      <c r="D89" s="2" t="s">
        <v>44</v>
      </c>
      <c r="E89" s="2" t="s">
        <v>45</v>
      </c>
      <c r="F89" s="2" t="s">
        <v>254</v>
      </c>
      <c r="G89" s="5" t="s">
        <v>287</v>
      </c>
      <c r="H89" s="5" t="s">
        <v>129</v>
      </c>
      <c r="I89" s="5" t="s">
        <v>79</v>
      </c>
      <c r="J89" s="2" t="s">
        <v>13</v>
      </c>
      <c r="K89" s="2">
        <v>2018</v>
      </c>
      <c r="L89" s="11">
        <v>0.62</v>
      </c>
      <c r="M89" s="2">
        <v>2019</v>
      </c>
      <c r="N89" s="18">
        <v>0.59799999999999998</v>
      </c>
      <c r="O89" s="18"/>
      <c r="P89" s="18"/>
      <c r="Q89" s="18"/>
      <c r="R89" s="4"/>
      <c r="S89" s="4"/>
      <c r="T89" s="2"/>
      <c r="U89" s="2" t="s">
        <v>103</v>
      </c>
      <c r="W89" t="s">
        <v>184</v>
      </c>
      <c r="X89" t="s">
        <v>184</v>
      </c>
      <c r="Y89" t="s">
        <v>207</v>
      </c>
      <c r="AA89" s="3" t="s">
        <v>246</v>
      </c>
      <c r="AC89" s="3" t="s">
        <v>250</v>
      </c>
      <c r="AD89" s="2" t="s">
        <v>71</v>
      </c>
    </row>
    <row r="90" spans="1:30" ht="60" hidden="1" x14ac:dyDescent="0.25">
      <c r="A90" s="57"/>
      <c r="B90" s="49" t="s">
        <v>5</v>
      </c>
      <c r="C90" s="49">
        <v>11</v>
      </c>
      <c r="D90" s="2" t="s">
        <v>46</v>
      </c>
      <c r="E90" s="2" t="s">
        <v>47</v>
      </c>
      <c r="F90" s="2" t="s">
        <v>254</v>
      </c>
      <c r="G90" s="5" t="s">
        <v>288</v>
      </c>
      <c r="H90" s="5" t="s">
        <v>131</v>
      </c>
      <c r="I90" s="5" t="s">
        <v>35</v>
      </c>
      <c r="J90" s="2" t="s">
        <v>13</v>
      </c>
      <c r="K90" s="3">
        <v>2018</v>
      </c>
      <c r="L90" s="18">
        <v>4.4999999999999998E-2</v>
      </c>
      <c r="M90" s="2">
        <v>2019</v>
      </c>
      <c r="N90" s="18">
        <v>4.9000000000000002E-2</v>
      </c>
      <c r="O90" s="18"/>
      <c r="P90" s="18"/>
      <c r="Q90" s="18"/>
      <c r="R90" s="4"/>
      <c r="S90" s="4"/>
      <c r="T90" s="2"/>
      <c r="U90" s="2" t="s">
        <v>103</v>
      </c>
      <c r="W90" t="s">
        <v>184</v>
      </c>
      <c r="X90" t="s">
        <v>184</v>
      </c>
      <c r="Y90" t="s">
        <v>207</v>
      </c>
      <c r="AA90" s="3" t="s">
        <v>246</v>
      </c>
      <c r="AC90" s="3" t="s">
        <v>250</v>
      </c>
      <c r="AD90" s="3" t="s">
        <v>70</v>
      </c>
    </row>
    <row r="91" spans="1:30" ht="60" hidden="1" x14ac:dyDescent="0.25">
      <c r="A91" s="57"/>
      <c r="B91" s="49" t="s">
        <v>5</v>
      </c>
      <c r="C91" s="49">
        <v>11</v>
      </c>
      <c r="D91" s="2" t="s">
        <v>46</v>
      </c>
      <c r="E91" s="2" t="s">
        <v>47</v>
      </c>
      <c r="F91" s="2" t="s">
        <v>254</v>
      </c>
      <c r="G91" s="5" t="s">
        <v>289</v>
      </c>
      <c r="H91" s="5" t="s">
        <v>233</v>
      </c>
      <c r="I91" s="5"/>
      <c r="J91" s="2"/>
      <c r="K91" s="3"/>
      <c r="L91" s="2"/>
      <c r="M91" s="2"/>
      <c r="N91" s="2"/>
      <c r="O91" s="18"/>
      <c r="P91" s="18"/>
      <c r="Q91" s="18"/>
      <c r="R91" s="4"/>
      <c r="S91" s="4"/>
      <c r="T91" s="2"/>
      <c r="U91" s="2" t="s">
        <v>153</v>
      </c>
      <c r="W91" s="3"/>
      <c r="X91" s="3"/>
      <c r="Y91" s="3"/>
      <c r="Z91" s="3"/>
      <c r="AA91" s="3" t="s">
        <v>246</v>
      </c>
      <c r="AB91" s="3"/>
      <c r="AC91" s="3" t="s">
        <v>250</v>
      </c>
      <c r="AD91" s="3" t="s">
        <v>71</v>
      </c>
    </row>
    <row r="92" spans="1:30" ht="240" hidden="1" x14ac:dyDescent="0.25">
      <c r="A92" s="57"/>
      <c r="B92" s="49" t="s">
        <v>5</v>
      </c>
      <c r="C92" s="49">
        <v>11</v>
      </c>
      <c r="D92" s="2" t="s">
        <v>46</v>
      </c>
      <c r="E92" s="2" t="s">
        <v>47</v>
      </c>
      <c r="F92" s="2" t="s">
        <v>254</v>
      </c>
      <c r="G92" s="5" t="s">
        <v>87</v>
      </c>
      <c r="H92" s="8" t="s">
        <v>65</v>
      </c>
      <c r="I92" s="5"/>
      <c r="J92" s="2"/>
      <c r="K92" s="3"/>
      <c r="L92" s="2"/>
      <c r="M92" s="2"/>
      <c r="N92" s="2"/>
      <c r="O92" s="18"/>
      <c r="P92" s="18"/>
      <c r="Q92" s="18"/>
      <c r="R92" s="4"/>
      <c r="S92" s="4"/>
      <c r="T92" s="2"/>
      <c r="U92" s="2" t="s">
        <v>207</v>
      </c>
      <c r="W92" s="3"/>
      <c r="X92" s="3"/>
      <c r="Y92" s="3"/>
      <c r="Z92" s="3"/>
      <c r="AA92" s="3" t="s">
        <v>246</v>
      </c>
      <c r="AB92" s="3"/>
      <c r="AC92" s="3" t="s">
        <v>246</v>
      </c>
      <c r="AD92" s="3" t="s">
        <v>71</v>
      </c>
    </row>
    <row r="93" spans="1:30" ht="75" x14ac:dyDescent="0.25">
      <c r="A93" s="57" t="s">
        <v>461</v>
      </c>
      <c r="B93" s="49" t="s">
        <v>5</v>
      </c>
      <c r="C93" s="49">
        <v>11</v>
      </c>
      <c r="D93" s="2" t="s">
        <v>46</v>
      </c>
      <c r="E93" s="2" t="s">
        <v>47</v>
      </c>
      <c r="F93" s="2" t="s">
        <v>254</v>
      </c>
      <c r="G93" s="5" t="s">
        <v>432</v>
      </c>
      <c r="H93" s="5" t="s">
        <v>308</v>
      </c>
      <c r="I93" s="5"/>
      <c r="J93" s="2" t="s">
        <v>321</v>
      </c>
      <c r="K93" s="3">
        <v>2018</v>
      </c>
      <c r="L93" s="2">
        <v>2</v>
      </c>
      <c r="M93" s="2">
        <v>2019</v>
      </c>
      <c r="N93" s="2">
        <v>1</v>
      </c>
      <c r="O93" s="41">
        <v>0</v>
      </c>
      <c r="P93" s="41">
        <v>0</v>
      </c>
      <c r="Q93" s="41">
        <v>0</v>
      </c>
      <c r="R93" s="41">
        <f t="shared" ref="R93:R94" si="12">(($S93-$L93)/21*18)+$L93</f>
        <v>0.28571428571428581</v>
      </c>
      <c r="S93" s="4">
        <v>0</v>
      </c>
      <c r="T93" s="39" t="s">
        <v>350</v>
      </c>
      <c r="U93" s="2" t="s">
        <v>149</v>
      </c>
      <c r="V93" t="s">
        <v>401</v>
      </c>
      <c r="W93" t="s">
        <v>184</v>
      </c>
      <c r="X93" t="s">
        <v>184</v>
      </c>
      <c r="Y93" t="s">
        <v>184</v>
      </c>
      <c r="AA93" s="3" t="s">
        <v>246</v>
      </c>
      <c r="AC93" s="3" t="s">
        <v>246</v>
      </c>
      <c r="AD93" s="3" t="s">
        <v>71</v>
      </c>
    </row>
    <row r="94" spans="1:30" ht="60" x14ac:dyDescent="0.25">
      <c r="A94" s="57" t="s">
        <v>462</v>
      </c>
      <c r="B94" s="49" t="s">
        <v>5</v>
      </c>
      <c r="C94" s="49">
        <v>11</v>
      </c>
      <c r="D94" s="2" t="s">
        <v>46</v>
      </c>
      <c r="E94" s="2" t="s">
        <v>47</v>
      </c>
      <c r="F94" s="2" t="s">
        <v>254</v>
      </c>
      <c r="G94" s="5" t="s">
        <v>418</v>
      </c>
      <c r="H94" s="5" t="s">
        <v>362</v>
      </c>
      <c r="I94" s="5"/>
      <c r="J94" s="2" t="s">
        <v>15</v>
      </c>
      <c r="K94" s="3">
        <v>2018</v>
      </c>
      <c r="L94" s="2">
        <v>0</v>
      </c>
      <c r="M94" s="2"/>
      <c r="N94" s="2"/>
      <c r="O94" s="18">
        <f t="shared" ref="O94" si="13">(($S94-$L94)/21*6)+$L94</f>
        <v>0.2857142857142857</v>
      </c>
      <c r="P94" s="18">
        <f t="shared" ref="P94" si="14">(($S94-$L94)/21*10)+$L94</f>
        <v>0.47619047619047616</v>
      </c>
      <c r="Q94" s="18">
        <f t="shared" ref="Q94" si="15">(($S94-$L94)/21*14)+$L94</f>
        <v>0.66666666666666663</v>
      </c>
      <c r="R94" s="50">
        <f t="shared" si="12"/>
        <v>0.8571428571428571</v>
      </c>
      <c r="S94" s="50">
        <v>1</v>
      </c>
      <c r="T94" s="46" t="s">
        <v>377</v>
      </c>
      <c r="U94" s="2" t="s">
        <v>149</v>
      </c>
      <c r="V94" t="s">
        <v>351</v>
      </c>
      <c r="AA94" s="3"/>
      <c r="AC94" s="3"/>
      <c r="AD94" s="3"/>
    </row>
    <row r="95" spans="1:30" ht="75" hidden="1" x14ac:dyDescent="0.25">
      <c r="A95" s="57"/>
      <c r="B95" s="49" t="s">
        <v>5</v>
      </c>
      <c r="C95" s="49">
        <v>11</v>
      </c>
      <c r="D95" s="2" t="s">
        <v>46</v>
      </c>
      <c r="E95" s="2" t="s">
        <v>47</v>
      </c>
      <c r="F95" s="2" t="s">
        <v>254</v>
      </c>
      <c r="G95" s="5" t="s">
        <v>97</v>
      </c>
      <c r="H95" s="5" t="s">
        <v>309</v>
      </c>
      <c r="I95" s="5"/>
      <c r="J95" s="2" t="s">
        <v>321</v>
      </c>
      <c r="K95" s="3">
        <v>2018</v>
      </c>
      <c r="L95" s="2">
        <v>6</v>
      </c>
      <c r="M95" s="2">
        <v>2019</v>
      </c>
      <c r="N95" s="2">
        <v>13</v>
      </c>
      <c r="O95" s="18"/>
      <c r="P95" s="18"/>
      <c r="Q95" s="18"/>
      <c r="R95" s="4"/>
      <c r="S95" s="4"/>
      <c r="T95" s="2"/>
      <c r="U95" s="2" t="s">
        <v>150</v>
      </c>
      <c r="W95" t="s">
        <v>184</v>
      </c>
      <c r="X95" t="s">
        <v>184</v>
      </c>
      <c r="Y95" t="s">
        <v>184</v>
      </c>
      <c r="AA95" s="3" t="s">
        <v>246</v>
      </c>
      <c r="AC95" s="3" t="s">
        <v>247</v>
      </c>
      <c r="AD95" s="3" t="s">
        <v>71</v>
      </c>
    </row>
    <row r="96" spans="1:30" ht="60" hidden="1" x14ac:dyDescent="0.25">
      <c r="A96" s="57"/>
      <c r="B96" s="49" t="s">
        <v>5</v>
      </c>
      <c r="C96" s="49">
        <v>11</v>
      </c>
      <c r="D96" s="2" t="s">
        <v>46</v>
      </c>
      <c r="E96" s="2" t="s">
        <v>47</v>
      </c>
      <c r="F96" s="2" t="s">
        <v>254</v>
      </c>
      <c r="G96" s="5" t="s">
        <v>310</v>
      </c>
      <c r="H96" s="5" t="s">
        <v>198</v>
      </c>
      <c r="I96" s="5" t="s">
        <v>65</v>
      </c>
      <c r="J96" s="2" t="s">
        <v>15</v>
      </c>
      <c r="K96" s="10"/>
      <c r="L96" s="8"/>
      <c r="M96" s="8"/>
      <c r="N96" s="8"/>
      <c r="O96" s="18"/>
      <c r="P96" s="18"/>
      <c r="Q96" s="18"/>
      <c r="R96" s="4"/>
      <c r="S96" s="4" t="s">
        <v>351</v>
      </c>
      <c r="T96" s="8"/>
      <c r="U96" s="2" t="s">
        <v>150</v>
      </c>
      <c r="W96" t="s">
        <v>184</v>
      </c>
      <c r="X96" t="s">
        <v>184</v>
      </c>
      <c r="Y96" t="s">
        <v>184</v>
      </c>
      <c r="Z96" s="3"/>
      <c r="AA96" s="3" t="s">
        <v>246</v>
      </c>
      <c r="AB96" s="3"/>
      <c r="AC96" s="3" t="s">
        <v>246</v>
      </c>
      <c r="AD96" s="3" t="s">
        <v>71</v>
      </c>
    </row>
    <row r="97" spans="1:30" ht="45" x14ac:dyDescent="0.25">
      <c r="A97" s="57" t="s">
        <v>463</v>
      </c>
      <c r="B97" s="49" t="s">
        <v>5</v>
      </c>
      <c r="C97" s="49">
        <v>12</v>
      </c>
      <c r="D97" s="2" t="s">
        <v>48</v>
      </c>
      <c r="E97" s="2" t="s">
        <v>43</v>
      </c>
      <c r="F97" s="2" t="s">
        <v>99</v>
      </c>
      <c r="G97" s="5" t="s">
        <v>419</v>
      </c>
      <c r="H97" s="5" t="s">
        <v>363</v>
      </c>
      <c r="I97" s="8" t="s">
        <v>65</v>
      </c>
      <c r="J97" s="2" t="s">
        <v>15</v>
      </c>
      <c r="K97" s="2">
        <v>2018</v>
      </c>
      <c r="L97" s="2">
        <f>0/2470</f>
        <v>0</v>
      </c>
      <c r="M97" s="2">
        <v>2019</v>
      </c>
      <c r="N97" s="18">
        <f>1500/2470</f>
        <v>0.60728744939271251</v>
      </c>
      <c r="O97" s="18">
        <f>(($S97-$L97)/21*6)+$L97</f>
        <v>0.2857142857142857</v>
      </c>
      <c r="P97" s="18">
        <f>(($S97-$L97)/21*10)+$L97</f>
        <v>0.47619047619047616</v>
      </c>
      <c r="Q97" s="18">
        <f>(($S97-$L97)/21*14)+$L97</f>
        <v>0.66666666666666663</v>
      </c>
      <c r="R97" s="48">
        <f>(($S97-$L97)/21*18)+$L97</f>
        <v>0.8571428571428571</v>
      </c>
      <c r="S97" s="48">
        <v>1</v>
      </c>
      <c r="T97" s="46" t="s">
        <v>377</v>
      </c>
      <c r="U97" s="2" t="s">
        <v>149</v>
      </c>
      <c r="V97" t="s">
        <v>351</v>
      </c>
      <c r="W97" s="3"/>
      <c r="X97" s="3"/>
      <c r="Y97" s="3"/>
      <c r="Z97" s="3"/>
      <c r="AA97" s="3" t="s">
        <v>246</v>
      </c>
      <c r="AB97" s="3"/>
      <c r="AC97" s="3" t="s">
        <v>247</v>
      </c>
      <c r="AD97" s="2"/>
    </row>
    <row r="98" spans="1:30" ht="60" hidden="1" x14ac:dyDescent="0.25">
      <c r="A98" s="57"/>
      <c r="B98" s="49" t="s">
        <v>5</v>
      </c>
      <c r="C98" s="49">
        <v>12</v>
      </c>
      <c r="D98" s="2" t="s">
        <v>48</v>
      </c>
      <c r="E98" s="2" t="s">
        <v>43</v>
      </c>
      <c r="F98" s="2" t="s">
        <v>99</v>
      </c>
      <c r="G98" s="5" t="s">
        <v>88</v>
      </c>
      <c r="H98" s="8" t="s">
        <v>65</v>
      </c>
      <c r="I98" s="8" t="s">
        <v>65</v>
      </c>
      <c r="J98" s="2" t="s">
        <v>15</v>
      </c>
      <c r="K98" s="2"/>
      <c r="L98" s="2"/>
      <c r="M98" s="2"/>
      <c r="N98" s="2"/>
      <c r="O98" s="18"/>
      <c r="P98" s="18"/>
      <c r="Q98" s="18"/>
      <c r="R98" s="4"/>
      <c r="S98" s="4"/>
      <c r="T98" s="2"/>
      <c r="U98" s="2" t="s">
        <v>150</v>
      </c>
      <c r="W98" s="3"/>
      <c r="X98" s="3"/>
      <c r="Y98" s="3"/>
      <c r="Z98" s="3"/>
      <c r="AA98" s="3" t="s">
        <v>246</v>
      </c>
      <c r="AB98" s="3"/>
      <c r="AC98" s="3" t="s">
        <v>247</v>
      </c>
      <c r="AD98" s="2" t="s">
        <v>70</v>
      </c>
    </row>
    <row r="99" spans="1:30" ht="45" hidden="1" x14ac:dyDescent="0.25">
      <c r="A99" s="57"/>
      <c r="B99" s="49" t="s">
        <v>5</v>
      </c>
      <c r="C99" s="49">
        <v>12</v>
      </c>
      <c r="D99" s="2" t="s">
        <v>48</v>
      </c>
      <c r="E99" s="2" t="s">
        <v>43</v>
      </c>
      <c r="F99" s="2" t="s">
        <v>99</v>
      </c>
      <c r="G99" s="5" t="s">
        <v>132</v>
      </c>
      <c r="H99" s="8" t="s">
        <v>65</v>
      </c>
      <c r="I99" s="8" t="s">
        <v>65</v>
      </c>
      <c r="J99" s="2" t="s">
        <v>15</v>
      </c>
      <c r="K99" s="2"/>
      <c r="L99" s="2"/>
      <c r="M99" s="2"/>
      <c r="N99" s="2"/>
      <c r="O99" s="18"/>
      <c r="P99" s="18"/>
      <c r="Q99" s="18"/>
      <c r="R99" s="4"/>
      <c r="S99" s="4"/>
      <c r="T99" s="2"/>
      <c r="U99" s="2" t="s">
        <v>150</v>
      </c>
      <c r="W99" s="3"/>
      <c r="X99" s="3"/>
      <c r="Y99" s="3"/>
      <c r="Z99" s="3"/>
      <c r="AA99" s="3" t="s">
        <v>246</v>
      </c>
      <c r="AB99" s="3"/>
      <c r="AC99" s="3" t="s">
        <v>246</v>
      </c>
      <c r="AD99" s="2" t="s">
        <v>71</v>
      </c>
    </row>
    <row r="100" spans="1:30" ht="45" x14ac:dyDescent="0.25">
      <c r="A100" s="33" t="s">
        <v>464</v>
      </c>
      <c r="B100" s="33" t="s">
        <v>6</v>
      </c>
      <c r="C100" s="33">
        <v>13</v>
      </c>
      <c r="D100" s="2" t="s">
        <v>49</v>
      </c>
      <c r="E100" s="2" t="s">
        <v>50</v>
      </c>
      <c r="F100" s="2" t="s">
        <v>328</v>
      </c>
      <c r="G100" s="5" t="s">
        <v>420</v>
      </c>
      <c r="H100" s="5" t="s">
        <v>368</v>
      </c>
      <c r="I100" s="5" t="s">
        <v>89</v>
      </c>
      <c r="J100" s="2" t="s">
        <v>15</v>
      </c>
      <c r="K100" s="2">
        <v>2018</v>
      </c>
      <c r="L100" s="14">
        <v>2773</v>
      </c>
      <c r="M100" s="2">
        <v>2019</v>
      </c>
      <c r="N100" s="14">
        <v>1746</v>
      </c>
      <c r="O100" s="14">
        <f t="shared" ref="O100:O101" si="16">(($S100-$L100)/21*6)+$L100</f>
        <v>2020.3285714285714</v>
      </c>
      <c r="P100" s="14">
        <f t="shared" ref="P100:P101" si="17">(($S100-$L100)/21*10)+$L100</f>
        <v>1518.547619047619</v>
      </c>
      <c r="Q100" s="14">
        <f t="shared" ref="Q100:Q101" si="18">(($S100-$L100)/21*14)+$L100</f>
        <v>1016.7666666666667</v>
      </c>
      <c r="R100" s="52">
        <f t="shared" ref="R100:R101" si="19">(($S100-$L100)/21*18)+$L100</f>
        <v>514.98571428571449</v>
      </c>
      <c r="S100" s="52">
        <f>L100*0.05</f>
        <v>138.65</v>
      </c>
      <c r="T100" s="39" t="s">
        <v>356</v>
      </c>
      <c r="U100" s="2" t="s">
        <v>149</v>
      </c>
      <c r="V100" t="s">
        <v>401</v>
      </c>
      <c r="W100" t="s">
        <v>184</v>
      </c>
      <c r="X100" t="s">
        <v>184</v>
      </c>
      <c r="Y100" t="s">
        <v>184</v>
      </c>
      <c r="AA100" s="3" t="s">
        <v>246</v>
      </c>
      <c r="AC100" s="3" t="s">
        <v>246</v>
      </c>
      <c r="AD100" s="2" t="s">
        <v>70</v>
      </c>
    </row>
    <row r="101" spans="1:30" ht="45" x14ac:dyDescent="0.25">
      <c r="A101" s="33" t="s">
        <v>471</v>
      </c>
      <c r="B101" s="33" t="s">
        <v>6</v>
      </c>
      <c r="C101" s="33">
        <v>13</v>
      </c>
      <c r="D101" s="2" t="s">
        <v>49</v>
      </c>
      <c r="E101" s="2" t="s">
        <v>50</v>
      </c>
      <c r="F101" s="2" t="s">
        <v>328</v>
      </c>
      <c r="G101" s="5" t="s">
        <v>421</v>
      </c>
      <c r="H101" s="5" t="s">
        <v>369</v>
      </c>
      <c r="I101" s="5" t="s">
        <v>89</v>
      </c>
      <c r="J101" s="2" t="s">
        <v>15</v>
      </c>
      <c r="K101" s="2">
        <v>2016</v>
      </c>
      <c r="L101" s="14">
        <v>1300000</v>
      </c>
      <c r="M101" s="2"/>
      <c r="N101" s="2"/>
      <c r="O101" s="14">
        <f t="shared" si="16"/>
        <v>928571.42857142852</v>
      </c>
      <c r="P101" s="14">
        <f t="shared" si="17"/>
        <v>680952.38095238095</v>
      </c>
      <c r="Q101" s="14">
        <f t="shared" si="18"/>
        <v>433333.33333333326</v>
      </c>
      <c r="R101" s="14">
        <f t="shared" si="19"/>
        <v>185714.28571428568</v>
      </c>
      <c r="S101" s="4">
        <v>0</v>
      </c>
      <c r="T101" s="39" t="s">
        <v>356</v>
      </c>
      <c r="U101" s="2" t="s">
        <v>149</v>
      </c>
      <c r="V101" t="s">
        <v>401</v>
      </c>
      <c r="W101" t="s">
        <v>184</v>
      </c>
      <c r="X101" t="s">
        <v>184</v>
      </c>
      <c r="Y101" t="s">
        <v>184</v>
      </c>
      <c r="AA101" s="3" t="s">
        <v>246</v>
      </c>
      <c r="AC101" s="3" t="s">
        <v>246</v>
      </c>
      <c r="AD101" s="2"/>
    </row>
    <row r="102" spans="1:30" ht="45" hidden="1" x14ac:dyDescent="0.25">
      <c r="A102" s="33"/>
      <c r="B102" s="33" t="s">
        <v>6</v>
      </c>
      <c r="C102" s="33">
        <v>13</v>
      </c>
      <c r="D102" s="2" t="s">
        <v>49</v>
      </c>
      <c r="E102" s="2" t="s">
        <v>50</v>
      </c>
      <c r="F102" s="2" t="s">
        <v>328</v>
      </c>
      <c r="G102" s="5" t="s">
        <v>311</v>
      </c>
      <c r="H102" s="5" t="s">
        <v>159</v>
      </c>
      <c r="I102" s="5" t="s">
        <v>89</v>
      </c>
      <c r="J102" s="2" t="s">
        <v>15</v>
      </c>
      <c r="K102" s="2"/>
      <c r="L102" s="2"/>
      <c r="M102" s="2"/>
      <c r="N102" s="2"/>
      <c r="O102" s="18"/>
      <c r="P102" s="18"/>
      <c r="Q102" s="18"/>
      <c r="R102" s="4"/>
      <c r="S102" s="4"/>
      <c r="T102" s="2"/>
      <c r="U102" s="2" t="s">
        <v>150</v>
      </c>
      <c r="W102" s="3"/>
      <c r="X102" s="3"/>
      <c r="Y102" s="3"/>
      <c r="Z102" s="3"/>
      <c r="AA102" s="3" t="s">
        <v>246</v>
      </c>
      <c r="AB102" s="3"/>
      <c r="AC102" s="3" t="s">
        <v>246</v>
      </c>
      <c r="AD102" s="2" t="s">
        <v>71</v>
      </c>
    </row>
    <row r="103" spans="1:30" ht="60" hidden="1" x14ac:dyDescent="0.25">
      <c r="A103" s="33"/>
      <c r="B103" s="33" t="s">
        <v>6</v>
      </c>
      <c r="C103" s="33">
        <v>13</v>
      </c>
      <c r="D103" s="2" t="s">
        <v>49</v>
      </c>
      <c r="E103" s="2" t="s">
        <v>50</v>
      </c>
      <c r="F103" s="2" t="s">
        <v>328</v>
      </c>
      <c r="G103" s="5" t="s">
        <v>200</v>
      </c>
      <c r="H103" s="5" t="s">
        <v>160</v>
      </c>
      <c r="I103" s="5" t="s">
        <v>64</v>
      </c>
      <c r="J103" s="4" t="s">
        <v>72</v>
      </c>
      <c r="K103" s="2"/>
      <c r="L103" s="2"/>
      <c r="M103" s="2"/>
      <c r="N103" s="2"/>
      <c r="O103" s="18"/>
      <c r="P103" s="18"/>
      <c r="Q103" s="18"/>
      <c r="R103" s="4"/>
      <c r="S103" s="4"/>
      <c r="T103" s="2"/>
      <c r="U103" s="2" t="s">
        <v>150</v>
      </c>
      <c r="W103" s="3"/>
      <c r="X103" s="3"/>
      <c r="Y103" s="3"/>
      <c r="Z103" s="3"/>
      <c r="AA103" s="3" t="s">
        <v>246</v>
      </c>
      <c r="AB103" s="3"/>
      <c r="AC103" s="3" t="s">
        <v>246</v>
      </c>
      <c r="AD103" s="2"/>
    </row>
    <row r="104" spans="1:30" ht="90" hidden="1" x14ac:dyDescent="0.25">
      <c r="A104" s="33"/>
      <c r="B104" s="33" t="s">
        <v>6</v>
      </c>
      <c r="C104" s="33">
        <v>13</v>
      </c>
      <c r="D104" s="2" t="s">
        <v>49</v>
      </c>
      <c r="E104" s="2" t="s">
        <v>50</v>
      </c>
      <c r="F104" s="2" t="s">
        <v>328</v>
      </c>
      <c r="G104" s="5" t="s">
        <v>312</v>
      </c>
      <c r="H104" s="5" t="s">
        <v>397</v>
      </c>
      <c r="I104" s="5" t="s">
        <v>65</v>
      </c>
      <c r="J104" s="2" t="s">
        <v>90</v>
      </c>
      <c r="K104" s="2"/>
      <c r="L104" s="2"/>
      <c r="M104" s="2"/>
      <c r="N104" s="2"/>
      <c r="O104" s="18"/>
      <c r="P104" s="18"/>
      <c r="Q104" s="18"/>
      <c r="R104" s="4"/>
      <c r="S104" s="4"/>
      <c r="T104" s="2"/>
      <c r="U104" s="2" t="s">
        <v>150</v>
      </c>
      <c r="W104" s="3"/>
      <c r="X104" s="3"/>
      <c r="Y104" s="3"/>
      <c r="Z104" s="3"/>
      <c r="AA104" s="3" t="s">
        <v>246</v>
      </c>
      <c r="AB104" s="3"/>
      <c r="AC104" s="3" t="s">
        <v>246</v>
      </c>
      <c r="AD104" s="2" t="s">
        <v>91</v>
      </c>
    </row>
    <row r="105" spans="1:30" ht="105" hidden="1" x14ac:dyDescent="0.25">
      <c r="A105" s="33"/>
      <c r="B105" s="33" t="s">
        <v>6</v>
      </c>
      <c r="C105" s="33">
        <v>14</v>
      </c>
      <c r="D105" s="2" t="s">
        <v>51</v>
      </c>
      <c r="E105" s="2" t="s">
        <v>52</v>
      </c>
      <c r="F105" s="2" t="s">
        <v>100</v>
      </c>
      <c r="G105" s="5" t="s">
        <v>199</v>
      </c>
      <c r="H105" s="5" t="s">
        <v>158</v>
      </c>
      <c r="I105" s="5" t="s">
        <v>35</v>
      </c>
      <c r="J105" s="2" t="s">
        <v>15</v>
      </c>
      <c r="K105" s="2">
        <v>2018</v>
      </c>
      <c r="L105" s="15">
        <v>1</v>
      </c>
      <c r="M105" s="2"/>
      <c r="N105" s="11"/>
      <c r="O105" s="18"/>
      <c r="P105" s="18"/>
      <c r="Q105" s="18"/>
      <c r="R105" s="4"/>
      <c r="S105" s="4"/>
      <c r="T105" s="2"/>
      <c r="U105" s="2" t="s">
        <v>150</v>
      </c>
      <c r="W105" t="s">
        <v>184</v>
      </c>
      <c r="X105" t="s">
        <v>184</v>
      </c>
      <c r="Y105" t="s">
        <v>184</v>
      </c>
      <c r="AA105" s="3" t="s">
        <v>246</v>
      </c>
      <c r="AC105" s="3" t="s">
        <v>246</v>
      </c>
      <c r="AD105" s="2" t="s">
        <v>70</v>
      </c>
    </row>
    <row r="106" spans="1:30" ht="30" x14ac:dyDescent="0.25">
      <c r="A106" s="33" t="s">
        <v>465</v>
      </c>
      <c r="B106" s="33" t="s">
        <v>6</v>
      </c>
      <c r="C106" s="33">
        <v>14</v>
      </c>
      <c r="D106" s="2" t="s">
        <v>51</v>
      </c>
      <c r="E106" s="2" t="s">
        <v>52</v>
      </c>
      <c r="F106" s="30" t="s">
        <v>322</v>
      </c>
      <c r="G106" s="5" t="s">
        <v>313</v>
      </c>
      <c r="H106" s="5" t="s">
        <v>161</v>
      </c>
      <c r="I106" s="5" t="s">
        <v>35</v>
      </c>
      <c r="J106" s="2" t="s">
        <v>15</v>
      </c>
      <c r="K106" s="2" t="s">
        <v>106</v>
      </c>
      <c r="L106" s="14">
        <v>49917</v>
      </c>
      <c r="M106" s="2" t="s">
        <v>358</v>
      </c>
      <c r="N106" s="14">
        <v>51573</v>
      </c>
      <c r="O106" s="14">
        <f>(($S106-$L106)/21*6)+$L106</f>
        <v>51343.200000000004</v>
      </c>
      <c r="P106" s="14">
        <f>(($S106-$L106)/21*10)+$L106</f>
        <v>52294</v>
      </c>
      <c r="Q106" s="14">
        <f>(($S106-$L106)/21*14)+$L106</f>
        <v>53244.800000000003</v>
      </c>
      <c r="R106" s="14">
        <f>(($S106-$L106)/21*18)+$L106</f>
        <v>54195.600000000006</v>
      </c>
      <c r="S106" s="54">
        <f>L106*1.1</f>
        <v>54908.700000000004</v>
      </c>
      <c r="T106" s="43" t="s">
        <v>361</v>
      </c>
      <c r="U106" s="2" t="s">
        <v>149</v>
      </c>
      <c r="V106" t="s">
        <v>351</v>
      </c>
      <c r="W106" s="3"/>
      <c r="X106" s="3" t="s">
        <v>184</v>
      </c>
      <c r="Y106" s="3" t="s">
        <v>184</v>
      </c>
      <c r="Z106" s="3"/>
      <c r="AA106" s="3" t="s">
        <v>246</v>
      </c>
      <c r="AB106" s="3"/>
      <c r="AC106" s="3" t="s">
        <v>246</v>
      </c>
      <c r="AD106" s="2" t="s">
        <v>71</v>
      </c>
    </row>
    <row r="107" spans="1:30" ht="30" x14ac:dyDescent="0.25">
      <c r="A107" s="33" t="s">
        <v>472</v>
      </c>
      <c r="B107" s="33" t="s">
        <v>6</v>
      </c>
      <c r="C107" s="33">
        <v>14</v>
      </c>
      <c r="D107" s="2" t="s">
        <v>51</v>
      </c>
      <c r="E107" s="2" t="s">
        <v>52</v>
      </c>
      <c r="F107" s="2" t="s">
        <v>100</v>
      </c>
      <c r="G107" s="5" t="s">
        <v>162</v>
      </c>
      <c r="H107" s="5" t="s">
        <v>398</v>
      </c>
      <c r="I107" s="5" t="s">
        <v>89</v>
      </c>
      <c r="J107" s="3" t="s">
        <v>72</v>
      </c>
      <c r="K107" s="2" t="s">
        <v>359</v>
      </c>
      <c r="L107" s="2">
        <v>127</v>
      </c>
      <c r="M107" s="2"/>
      <c r="N107" s="2"/>
      <c r="O107" s="2">
        <f>(($S107-$L107)/21*6)+$L107</f>
        <v>107</v>
      </c>
      <c r="P107" s="41">
        <f>(($S107-$L107)/21*10)+$L107</f>
        <v>93.666666666666657</v>
      </c>
      <c r="Q107" s="41">
        <f>(($S107-$L107)/21*14)+$L107</f>
        <v>80.333333333333329</v>
      </c>
      <c r="R107" s="4">
        <f>(($S107-$L107)/21*18)+$L107</f>
        <v>67</v>
      </c>
      <c r="S107" s="4">
        <v>57</v>
      </c>
      <c r="T107" s="39" t="s">
        <v>360</v>
      </c>
      <c r="U107" s="2" t="s">
        <v>149</v>
      </c>
      <c r="V107" t="s">
        <v>401</v>
      </c>
      <c r="W107" s="3"/>
      <c r="X107" s="3"/>
      <c r="Y107" s="3"/>
      <c r="Z107" s="3"/>
      <c r="AA107" s="3" t="s">
        <v>246</v>
      </c>
      <c r="AB107" s="3"/>
      <c r="AC107" s="3" t="s">
        <v>246</v>
      </c>
      <c r="AD107" s="2"/>
    </row>
    <row r="108" spans="1:30" ht="30" hidden="1" x14ac:dyDescent="0.25">
      <c r="A108" s="33"/>
      <c r="B108" s="33" t="s">
        <v>6</v>
      </c>
      <c r="C108" s="33">
        <v>14</v>
      </c>
      <c r="D108" s="2" t="s">
        <v>51</v>
      </c>
      <c r="E108" s="2" t="s">
        <v>52</v>
      </c>
      <c r="F108" s="2" t="s">
        <v>100</v>
      </c>
      <c r="G108" s="5" t="s">
        <v>290</v>
      </c>
      <c r="H108" s="5" t="s">
        <v>163</v>
      </c>
      <c r="I108" s="5" t="s">
        <v>89</v>
      </c>
      <c r="J108" s="3" t="s">
        <v>72</v>
      </c>
      <c r="K108" s="8"/>
      <c r="L108" s="8"/>
      <c r="M108" s="8"/>
      <c r="N108" s="8"/>
      <c r="O108" s="18"/>
      <c r="P108" s="18"/>
      <c r="Q108" s="18"/>
      <c r="R108" s="4"/>
      <c r="S108" s="4"/>
      <c r="T108" s="8"/>
      <c r="U108" s="2" t="s">
        <v>150</v>
      </c>
      <c r="W108" s="3"/>
      <c r="X108" s="3"/>
      <c r="Y108" s="3" t="s">
        <v>184</v>
      </c>
      <c r="Z108" s="3"/>
      <c r="AA108" s="3" t="s">
        <v>246</v>
      </c>
      <c r="AB108" s="3"/>
      <c r="AC108" s="3" t="s">
        <v>246</v>
      </c>
      <c r="AD108" s="2"/>
    </row>
    <row r="109" spans="1:30" ht="45" hidden="1" x14ac:dyDescent="0.25">
      <c r="A109" s="33"/>
      <c r="B109" s="33" t="s">
        <v>6</v>
      </c>
      <c r="C109" s="33">
        <v>14</v>
      </c>
      <c r="D109" s="2" t="s">
        <v>51</v>
      </c>
      <c r="E109" s="2" t="s">
        <v>52</v>
      </c>
      <c r="F109" s="2" t="s">
        <v>100</v>
      </c>
      <c r="G109" s="5" t="s">
        <v>364</v>
      </c>
      <c r="H109" s="5" t="s">
        <v>365</v>
      </c>
      <c r="I109" s="5" t="s">
        <v>89</v>
      </c>
      <c r="J109" s="3" t="s">
        <v>72</v>
      </c>
      <c r="K109" s="4" t="s">
        <v>359</v>
      </c>
      <c r="L109" s="4">
        <v>150</v>
      </c>
      <c r="M109" s="4"/>
      <c r="N109" s="4"/>
      <c r="O109" s="18"/>
      <c r="P109" s="18"/>
      <c r="Q109" s="18"/>
      <c r="R109" s="4"/>
      <c r="S109" s="4">
        <v>150</v>
      </c>
      <c r="T109" s="39" t="s">
        <v>360</v>
      </c>
      <c r="U109" s="2" t="s">
        <v>150</v>
      </c>
      <c r="Y109" t="s">
        <v>184</v>
      </c>
      <c r="AA109" s="3" t="s">
        <v>246</v>
      </c>
      <c r="AC109" s="3" t="s">
        <v>246</v>
      </c>
      <c r="AD109" s="2"/>
    </row>
    <row r="110" spans="1:30" ht="30" x14ac:dyDescent="0.25">
      <c r="A110" s="33" t="s">
        <v>473</v>
      </c>
      <c r="B110" s="33" t="s">
        <v>6</v>
      </c>
      <c r="C110" s="33">
        <v>14</v>
      </c>
      <c r="D110" s="2" t="s">
        <v>51</v>
      </c>
      <c r="E110" s="2" t="s">
        <v>52</v>
      </c>
      <c r="F110" s="2" t="s">
        <v>100</v>
      </c>
      <c r="G110" s="5" t="s">
        <v>422</v>
      </c>
      <c r="H110" s="5" t="s">
        <v>496</v>
      </c>
      <c r="I110" s="5" t="s">
        <v>89</v>
      </c>
      <c r="J110" s="3" t="s">
        <v>72</v>
      </c>
      <c r="K110" s="4" t="s">
        <v>359</v>
      </c>
      <c r="L110" s="14">
        <v>12000</v>
      </c>
      <c r="M110" s="4"/>
      <c r="N110" s="4"/>
      <c r="O110" s="14">
        <f>(($S110-$L110)/21*6)+$L110</f>
        <v>10485.714285714286</v>
      </c>
      <c r="P110" s="14">
        <f>(($S110-$L110)/21*10)+$L110</f>
        <v>9476.1904761904771</v>
      </c>
      <c r="Q110" s="14">
        <f>(($S110-$L110)/21*14)+$L110</f>
        <v>8466.6666666666661</v>
      </c>
      <c r="R110" s="14">
        <f>(($S110-$L110)/21*18)+$L110</f>
        <v>7457.1428571428569</v>
      </c>
      <c r="S110" s="54">
        <v>6700</v>
      </c>
      <c r="T110" s="39" t="s">
        <v>360</v>
      </c>
      <c r="U110" s="2" t="s">
        <v>149</v>
      </c>
      <c r="V110" t="s">
        <v>401</v>
      </c>
      <c r="Y110" t="s">
        <v>184</v>
      </c>
      <c r="AA110" s="3" t="s">
        <v>246</v>
      </c>
      <c r="AC110" s="3" t="s">
        <v>246</v>
      </c>
      <c r="AD110" s="2"/>
    </row>
    <row r="111" spans="1:30" ht="45" hidden="1" x14ac:dyDescent="0.25">
      <c r="A111" s="33"/>
      <c r="B111" s="33" t="s">
        <v>6</v>
      </c>
      <c r="C111" s="33">
        <v>14</v>
      </c>
      <c r="D111" s="2" t="s">
        <v>51</v>
      </c>
      <c r="E111" s="2" t="s">
        <v>52</v>
      </c>
      <c r="F111" s="2" t="s">
        <v>100</v>
      </c>
      <c r="G111" s="5" t="s">
        <v>314</v>
      </c>
      <c r="H111" s="5" t="s">
        <v>164</v>
      </c>
      <c r="I111" s="5" t="s">
        <v>35</v>
      </c>
      <c r="J111" s="2" t="s">
        <v>15</v>
      </c>
      <c r="K111" s="2"/>
      <c r="L111" s="2"/>
      <c r="M111" s="2"/>
      <c r="N111" s="2"/>
      <c r="O111" s="18"/>
      <c r="P111" s="18"/>
      <c r="Q111" s="18"/>
      <c r="R111" s="4"/>
      <c r="S111" s="4"/>
      <c r="T111" s="2"/>
      <c r="U111" s="2" t="s">
        <v>150</v>
      </c>
      <c r="W111" s="3"/>
      <c r="X111" s="3" t="s">
        <v>184</v>
      </c>
      <c r="Y111" s="3" t="s">
        <v>184</v>
      </c>
      <c r="Z111" s="3"/>
      <c r="AA111" s="3" t="s">
        <v>246</v>
      </c>
      <c r="AB111" s="3"/>
      <c r="AC111" s="3" t="s">
        <v>246</v>
      </c>
      <c r="AD111" s="2" t="s">
        <v>70</v>
      </c>
    </row>
    <row r="112" spans="1:30" ht="45" x14ac:dyDescent="0.25">
      <c r="A112" s="33" t="s">
        <v>474</v>
      </c>
      <c r="B112" s="33" t="s">
        <v>6</v>
      </c>
      <c r="C112" s="33">
        <v>14</v>
      </c>
      <c r="D112" s="2" t="s">
        <v>51</v>
      </c>
      <c r="E112" s="2" t="s">
        <v>52</v>
      </c>
      <c r="F112" s="30" t="s">
        <v>322</v>
      </c>
      <c r="G112" s="5" t="s">
        <v>315</v>
      </c>
      <c r="H112" s="5" t="s">
        <v>134</v>
      </c>
      <c r="I112" s="5" t="s">
        <v>66</v>
      </c>
      <c r="J112" s="2" t="s">
        <v>376</v>
      </c>
      <c r="K112" s="2">
        <v>2018</v>
      </c>
      <c r="L112" s="18">
        <v>0.17</v>
      </c>
      <c r="M112" s="2"/>
      <c r="N112" s="2"/>
      <c r="O112" s="18">
        <f>(($S112-$L112)/21*6)+$L112</f>
        <v>0.20714285714285713</v>
      </c>
      <c r="P112" s="18">
        <f>(($S112-$L112)/21*10)+$L112</f>
        <v>0.23190476190476189</v>
      </c>
      <c r="Q112" s="18">
        <f>(($S112-$L112)/21*14)+$L112</f>
        <v>0.25666666666666665</v>
      </c>
      <c r="R112" s="50">
        <f>(($S112-$L112)/21*18)+$L112</f>
        <v>0.28142857142857142</v>
      </c>
      <c r="S112" s="50">
        <v>0.3</v>
      </c>
      <c r="T112" s="39" t="s">
        <v>356</v>
      </c>
      <c r="U112" s="2" t="s">
        <v>149</v>
      </c>
      <c r="V112" t="s">
        <v>351</v>
      </c>
      <c r="W112" s="3"/>
      <c r="X112" s="3" t="s">
        <v>184</v>
      </c>
      <c r="Y112" s="3" t="s">
        <v>184</v>
      </c>
      <c r="Z112" s="3"/>
      <c r="AA112" s="3" t="s">
        <v>246</v>
      </c>
      <c r="AB112" s="3"/>
      <c r="AC112" s="3" t="s">
        <v>246</v>
      </c>
      <c r="AD112" s="2"/>
    </row>
    <row r="113" spans="1:30" ht="30" hidden="1" x14ac:dyDescent="0.25">
      <c r="A113" s="33"/>
      <c r="B113" s="33" t="s">
        <v>6</v>
      </c>
      <c r="C113" s="33">
        <v>14</v>
      </c>
      <c r="D113" s="2" t="s">
        <v>51</v>
      </c>
      <c r="E113" s="2" t="s">
        <v>52</v>
      </c>
      <c r="F113" s="30" t="s">
        <v>322</v>
      </c>
      <c r="G113" s="5" t="s">
        <v>291</v>
      </c>
      <c r="H113" s="5" t="s">
        <v>201</v>
      </c>
      <c r="I113" s="5" t="s">
        <v>66</v>
      </c>
      <c r="J113" s="2" t="s">
        <v>72</v>
      </c>
      <c r="K113" s="2"/>
      <c r="L113" s="2"/>
      <c r="M113" s="2"/>
      <c r="N113" s="2"/>
      <c r="O113" s="18"/>
      <c r="P113" s="18"/>
      <c r="Q113" s="18"/>
      <c r="R113" s="4"/>
      <c r="S113" s="4"/>
      <c r="T113" s="2"/>
      <c r="U113" s="2" t="s">
        <v>150</v>
      </c>
      <c r="V113" s="2"/>
      <c r="W113" s="3"/>
      <c r="X113" s="3" t="s">
        <v>184</v>
      </c>
      <c r="Y113" s="3" t="s">
        <v>184</v>
      </c>
      <c r="Z113" s="3"/>
      <c r="AA113" s="3" t="s">
        <v>246</v>
      </c>
      <c r="AB113" s="3"/>
      <c r="AC113" s="3" t="s">
        <v>246</v>
      </c>
      <c r="AD113" s="2"/>
    </row>
    <row r="114" spans="1:30" ht="30" x14ac:dyDescent="0.25">
      <c r="A114" s="33" t="s">
        <v>475</v>
      </c>
      <c r="B114" s="33" t="s">
        <v>6</v>
      </c>
      <c r="C114" s="33">
        <v>14</v>
      </c>
      <c r="D114" s="2" t="s">
        <v>51</v>
      </c>
      <c r="E114" s="2" t="s">
        <v>52</v>
      </c>
      <c r="F114" s="2" t="s">
        <v>100</v>
      </c>
      <c r="G114" s="5" t="s">
        <v>165</v>
      </c>
      <c r="H114" s="5" t="s">
        <v>133</v>
      </c>
      <c r="I114" s="5"/>
      <c r="J114" s="3" t="s">
        <v>72</v>
      </c>
      <c r="K114" s="4" t="s">
        <v>359</v>
      </c>
      <c r="L114" s="4">
        <v>39</v>
      </c>
      <c r="M114" s="4"/>
      <c r="N114" s="4"/>
      <c r="O114" s="52">
        <f t="shared" ref="O114:O115" si="20">(($S114-$L114)/21*6)+$L114</f>
        <v>37.857142857142854</v>
      </c>
      <c r="P114" s="52">
        <f t="shared" ref="P114:P115" si="21">(($S114-$L114)/21*10)+$L114</f>
        <v>37.095238095238095</v>
      </c>
      <c r="Q114" s="52">
        <f t="shared" ref="Q114:Q115" si="22">(($S114-$L114)/21*14)+$L114</f>
        <v>36.333333333333336</v>
      </c>
      <c r="R114" s="52">
        <f t="shared" ref="R114:R115" si="23">(($S114-$L114)/21*18)+$L114</f>
        <v>35.571428571428569</v>
      </c>
      <c r="S114" s="4">
        <v>35</v>
      </c>
      <c r="T114" s="39" t="s">
        <v>360</v>
      </c>
      <c r="U114" s="2" t="s">
        <v>149</v>
      </c>
      <c r="V114" t="s">
        <v>401</v>
      </c>
      <c r="W114" s="3"/>
      <c r="X114" s="3" t="s">
        <v>184</v>
      </c>
      <c r="Y114" s="3" t="s">
        <v>184</v>
      </c>
      <c r="Z114" s="3"/>
      <c r="AA114" s="3" t="s">
        <v>246</v>
      </c>
      <c r="AB114" s="3"/>
      <c r="AC114" s="3" t="s">
        <v>246</v>
      </c>
      <c r="AD114" s="2"/>
    </row>
    <row r="115" spans="1:30" ht="75" x14ac:dyDescent="0.25">
      <c r="A115" s="33" t="s">
        <v>466</v>
      </c>
      <c r="B115" s="33" t="s">
        <v>6</v>
      </c>
      <c r="C115" s="33">
        <v>15</v>
      </c>
      <c r="D115" s="2" t="s">
        <v>53</v>
      </c>
      <c r="E115" s="2" t="s">
        <v>54</v>
      </c>
      <c r="F115" s="2" t="s">
        <v>94</v>
      </c>
      <c r="G115" s="5" t="s">
        <v>316</v>
      </c>
      <c r="H115" s="5" t="s">
        <v>135</v>
      </c>
      <c r="I115" s="5" t="s">
        <v>35</v>
      </c>
      <c r="J115" s="2" t="s">
        <v>92</v>
      </c>
      <c r="K115" s="2">
        <v>2018</v>
      </c>
      <c r="L115" s="12">
        <v>0.41670000000000001</v>
      </c>
      <c r="M115" s="2">
        <v>2019</v>
      </c>
      <c r="N115" s="12">
        <v>0.41110000000000002</v>
      </c>
      <c r="O115" s="18">
        <f t="shared" si="20"/>
        <v>0.55478571428571433</v>
      </c>
      <c r="P115" s="18">
        <f t="shared" si="21"/>
        <v>0.64684285714285716</v>
      </c>
      <c r="Q115" s="18">
        <f t="shared" si="22"/>
        <v>0.73890000000000011</v>
      </c>
      <c r="R115" s="50">
        <f t="shared" si="23"/>
        <v>0.83095714285714295</v>
      </c>
      <c r="S115" s="50">
        <v>0.9</v>
      </c>
      <c r="T115" s="39" t="s">
        <v>356</v>
      </c>
      <c r="U115" s="2" t="s">
        <v>149</v>
      </c>
      <c r="V115" t="s">
        <v>351</v>
      </c>
      <c r="W115" t="s">
        <v>184</v>
      </c>
      <c r="X115" t="s">
        <v>184</v>
      </c>
      <c r="Y115" t="s">
        <v>184</v>
      </c>
      <c r="AA115" s="3" t="s">
        <v>246</v>
      </c>
      <c r="AC115" s="3" t="s">
        <v>246</v>
      </c>
      <c r="AD115" s="2" t="s">
        <v>85</v>
      </c>
    </row>
    <row r="116" spans="1:30" ht="150" hidden="1" x14ac:dyDescent="0.25">
      <c r="A116" s="33"/>
      <c r="B116" s="33" t="s">
        <v>6</v>
      </c>
      <c r="C116" s="33">
        <v>15</v>
      </c>
      <c r="D116" s="2" t="s">
        <v>53</v>
      </c>
      <c r="E116" s="2" t="s">
        <v>54</v>
      </c>
      <c r="F116" s="2" t="s">
        <v>94</v>
      </c>
      <c r="G116" s="5" t="s">
        <v>202</v>
      </c>
      <c r="H116" s="5"/>
      <c r="I116" s="5" t="s">
        <v>3</v>
      </c>
      <c r="J116" s="8"/>
      <c r="K116" s="2"/>
      <c r="L116" s="2"/>
      <c r="M116" s="2"/>
      <c r="N116" s="2"/>
      <c r="O116" s="18"/>
      <c r="P116" s="18"/>
      <c r="Q116" s="18"/>
      <c r="R116" s="4"/>
      <c r="S116" s="4"/>
      <c r="T116" s="2"/>
      <c r="U116" s="2" t="s">
        <v>103</v>
      </c>
      <c r="W116" s="3" t="s">
        <v>207</v>
      </c>
      <c r="X116" s="3" t="s">
        <v>207</v>
      </c>
      <c r="Y116" s="3" t="s">
        <v>207</v>
      </c>
      <c r="Z116" s="3"/>
      <c r="AA116" s="3" t="s">
        <v>246</v>
      </c>
      <c r="AB116" s="3"/>
      <c r="AC116" s="3" t="s">
        <v>247</v>
      </c>
      <c r="AD116" s="2"/>
    </row>
    <row r="117" spans="1:30" ht="75" hidden="1" x14ac:dyDescent="0.25">
      <c r="A117" s="33"/>
      <c r="B117" s="33" t="s">
        <v>6</v>
      </c>
      <c r="C117" s="33">
        <v>16</v>
      </c>
      <c r="D117" s="2" t="s">
        <v>55</v>
      </c>
      <c r="E117" s="2" t="s">
        <v>56</v>
      </c>
      <c r="F117" s="2" t="s">
        <v>329</v>
      </c>
      <c r="G117" s="5" t="s">
        <v>317</v>
      </c>
      <c r="H117" s="5" t="s">
        <v>187</v>
      </c>
      <c r="I117" s="5" t="s">
        <v>35</v>
      </c>
      <c r="J117" s="1" t="s">
        <v>186</v>
      </c>
      <c r="K117" s="1">
        <v>2018</v>
      </c>
      <c r="L117" s="14">
        <v>1501</v>
      </c>
      <c r="M117" s="1">
        <v>2019</v>
      </c>
      <c r="N117" s="14">
        <v>1611</v>
      </c>
      <c r="O117" s="18"/>
      <c r="P117" s="18"/>
      <c r="Q117" s="18"/>
      <c r="R117" s="54"/>
      <c r="S117" s="54">
        <f>L117*1.1</f>
        <v>1651.1000000000001</v>
      </c>
      <c r="T117" s="44" t="s">
        <v>361</v>
      </c>
      <c r="U117" s="2" t="s">
        <v>207</v>
      </c>
      <c r="W117" t="s">
        <v>184</v>
      </c>
      <c r="X117" t="s">
        <v>184</v>
      </c>
      <c r="Y117" t="s">
        <v>184</v>
      </c>
      <c r="AA117" s="3" t="s">
        <v>246</v>
      </c>
      <c r="AC117" s="3" t="s">
        <v>246</v>
      </c>
      <c r="AD117" s="1" t="s">
        <v>70</v>
      </c>
    </row>
    <row r="118" spans="1:30" ht="75" hidden="1" x14ac:dyDescent="0.25">
      <c r="A118" s="33"/>
      <c r="B118" s="33" t="s">
        <v>6</v>
      </c>
      <c r="C118" s="33">
        <v>16</v>
      </c>
      <c r="D118" s="2" t="s">
        <v>55</v>
      </c>
      <c r="E118" s="2" t="s">
        <v>56</v>
      </c>
      <c r="F118" s="2" t="s">
        <v>329</v>
      </c>
      <c r="G118" s="8" t="s">
        <v>366</v>
      </c>
      <c r="H118" s="8" t="s">
        <v>367</v>
      </c>
      <c r="I118" s="8"/>
      <c r="J118" s="9"/>
      <c r="K118" s="9"/>
      <c r="L118" s="45"/>
      <c r="M118" s="9"/>
      <c r="N118" s="45"/>
      <c r="O118" s="18"/>
      <c r="P118" s="18"/>
      <c r="Q118" s="18"/>
      <c r="R118" s="54"/>
      <c r="S118" s="54"/>
      <c r="T118" s="42"/>
      <c r="U118" s="2" t="s">
        <v>207</v>
      </c>
      <c r="AA118" s="3"/>
      <c r="AC118" s="3"/>
      <c r="AD118" s="1"/>
    </row>
    <row r="119" spans="1:30" ht="60" x14ac:dyDescent="0.25">
      <c r="A119" s="33" t="s">
        <v>467</v>
      </c>
      <c r="B119" s="33" t="s">
        <v>6</v>
      </c>
      <c r="C119" s="33">
        <v>16</v>
      </c>
      <c r="D119" s="2" t="s">
        <v>55</v>
      </c>
      <c r="E119" s="2" t="s">
        <v>56</v>
      </c>
      <c r="F119" s="2" t="s">
        <v>329</v>
      </c>
      <c r="G119" s="5" t="s">
        <v>423</v>
      </c>
      <c r="H119" s="5" t="s">
        <v>387</v>
      </c>
      <c r="I119" s="5" t="s">
        <v>388</v>
      </c>
      <c r="J119" s="2" t="s">
        <v>151</v>
      </c>
      <c r="K119" s="1"/>
      <c r="L119" s="1"/>
      <c r="M119" s="1"/>
      <c r="N119" s="1"/>
      <c r="O119" s="18">
        <f t="shared" ref="O119:O120" si="24">(($S119-$L119)/21*6)+$L119</f>
        <v>0.21428571428571427</v>
      </c>
      <c r="P119" s="18">
        <f t="shared" ref="P119:P120" si="25">(($S119-$L119)/21*10)+$L119</f>
        <v>0.3571428571428571</v>
      </c>
      <c r="Q119" s="18">
        <f t="shared" ref="Q119:Q120" si="26">(($S119-$L119)/21*14)+$L119</f>
        <v>0.5</v>
      </c>
      <c r="R119" s="48">
        <f t="shared" ref="R119:R120" si="27">(($S119-$L119)/21*18)+$L119</f>
        <v>0.64285714285714279</v>
      </c>
      <c r="S119" s="48">
        <v>0.75</v>
      </c>
      <c r="T119" s="46" t="s">
        <v>386</v>
      </c>
      <c r="U119" s="2" t="s">
        <v>149</v>
      </c>
      <c r="V119" t="s">
        <v>351</v>
      </c>
      <c r="AA119" s="3"/>
      <c r="AC119" s="3"/>
      <c r="AD119" s="1"/>
    </row>
    <row r="120" spans="1:30" ht="60" x14ac:dyDescent="0.25">
      <c r="A120" s="33" t="s">
        <v>476</v>
      </c>
      <c r="B120" s="33" t="s">
        <v>6</v>
      </c>
      <c r="C120" s="33">
        <v>16</v>
      </c>
      <c r="D120" s="2" t="s">
        <v>55</v>
      </c>
      <c r="E120" s="2" t="s">
        <v>56</v>
      </c>
      <c r="F120" s="2" t="s">
        <v>329</v>
      </c>
      <c r="G120" s="5" t="s">
        <v>424</v>
      </c>
      <c r="H120" s="5" t="s">
        <v>389</v>
      </c>
      <c r="I120" s="5" t="s">
        <v>388</v>
      </c>
      <c r="J120" s="2" t="s">
        <v>151</v>
      </c>
      <c r="K120" s="1"/>
      <c r="L120" s="1"/>
      <c r="M120" s="1"/>
      <c r="N120" s="1"/>
      <c r="O120" s="18">
        <f t="shared" si="24"/>
        <v>0.2857142857142857</v>
      </c>
      <c r="P120" s="18">
        <f t="shared" si="25"/>
        <v>0.47619047619047616</v>
      </c>
      <c r="Q120" s="18">
        <f t="shared" si="26"/>
        <v>0.66666666666666663</v>
      </c>
      <c r="R120" s="48">
        <f t="shared" si="27"/>
        <v>0.8571428571428571</v>
      </c>
      <c r="S120" s="48">
        <v>1</v>
      </c>
      <c r="T120" s="46" t="s">
        <v>386</v>
      </c>
      <c r="U120" s="2" t="s">
        <v>149</v>
      </c>
      <c r="V120" t="s">
        <v>351</v>
      </c>
      <c r="AA120" s="3"/>
      <c r="AC120" s="3"/>
      <c r="AD120" s="1"/>
    </row>
    <row r="121" spans="1:30" ht="45" hidden="1" x14ac:dyDescent="0.25">
      <c r="A121" s="34"/>
      <c r="B121" s="34" t="s">
        <v>7</v>
      </c>
      <c r="C121" s="34">
        <v>17</v>
      </c>
      <c r="D121" s="2" t="s">
        <v>57</v>
      </c>
      <c r="E121" s="2" t="s">
        <v>58</v>
      </c>
      <c r="F121" s="2" t="s">
        <v>330</v>
      </c>
      <c r="G121" s="9" t="s">
        <v>65</v>
      </c>
      <c r="H121" s="9" t="s">
        <v>65</v>
      </c>
      <c r="I121" s="9"/>
      <c r="J121" s="9"/>
      <c r="K121" s="9"/>
      <c r="L121" s="2"/>
      <c r="M121" s="2"/>
      <c r="N121" s="2"/>
      <c r="O121" s="18"/>
      <c r="P121" s="18"/>
      <c r="Q121" s="18"/>
      <c r="R121" s="4"/>
      <c r="S121" s="4"/>
      <c r="T121" s="2"/>
      <c r="U121" s="2" t="s">
        <v>150</v>
      </c>
      <c r="W121" s="3"/>
      <c r="X121" s="3"/>
      <c r="Y121" s="3"/>
      <c r="Z121" s="3"/>
      <c r="AA121" s="3"/>
      <c r="AB121" s="3"/>
      <c r="AC121" s="3"/>
      <c r="AD121" s="9"/>
    </row>
    <row r="122" spans="1:30" ht="45" hidden="1" x14ac:dyDescent="0.25">
      <c r="A122" s="34"/>
      <c r="B122" s="34" t="s">
        <v>7</v>
      </c>
      <c r="C122" s="34">
        <v>17</v>
      </c>
      <c r="D122" s="2" t="s">
        <v>57</v>
      </c>
      <c r="E122" s="2" t="s">
        <v>58</v>
      </c>
      <c r="F122" s="2" t="s">
        <v>330</v>
      </c>
      <c r="G122" s="5" t="s">
        <v>319</v>
      </c>
      <c r="H122" s="5" t="s">
        <v>205</v>
      </c>
      <c r="I122" s="5"/>
      <c r="J122" s="2" t="s">
        <v>15</v>
      </c>
      <c r="K122" s="2">
        <v>2018</v>
      </c>
      <c r="L122" s="11">
        <v>0.35</v>
      </c>
      <c r="M122" s="2">
        <v>2019</v>
      </c>
      <c r="N122" s="11">
        <v>0.8</v>
      </c>
      <c r="O122" s="18"/>
      <c r="P122" s="18"/>
      <c r="Q122" s="18"/>
      <c r="R122" s="4"/>
      <c r="S122" s="4"/>
      <c r="T122" s="2"/>
      <c r="U122" s="2" t="s">
        <v>207</v>
      </c>
      <c r="W122" t="s">
        <v>184</v>
      </c>
      <c r="Z122" t="s">
        <v>207</v>
      </c>
      <c r="AA122" s="3" t="s">
        <v>249</v>
      </c>
      <c r="AC122" s="3" t="s">
        <v>246</v>
      </c>
      <c r="AD122" s="2"/>
    </row>
    <row r="123" spans="1:30" ht="105" hidden="1" x14ac:dyDescent="0.25">
      <c r="A123" s="34"/>
      <c r="B123" s="34" t="s">
        <v>7</v>
      </c>
      <c r="C123" s="34">
        <v>18</v>
      </c>
      <c r="D123" s="2" t="s">
        <v>59</v>
      </c>
      <c r="E123" s="2" t="s">
        <v>60</v>
      </c>
      <c r="F123" s="2" t="s">
        <v>331</v>
      </c>
      <c r="G123" s="5" t="s">
        <v>203</v>
      </c>
      <c r="H123" s="5" t="s">
        <v>297</v>
      </c>
      <c r="I123" s="5" t="s">
        <v>35</v>
      </c>
      <c r="J123" s="2" t="s">
        <v>151</v>
      </c>
      <c r="K123" s="2">
        <v>2018</v>
      </c>
      <c r="L123" s="2">
        <v>70</v>
      </c>
      <c r="M123" s="2">
        <v>2019</v>
      </c>
      <c r="N123" s="2">
        <v>68</v>
      </c>
      <c r="O123" s="18"/>
      <c r="P123" s="18"/>
      <c r="Q123" s="18"/>
      <c r="R123" s="4"/>
      <c r="S123" s="4"/>
      <c r="T123" s="2"/>
      <c r="U123" s="2" t="s">
        <v>150</v>
      </c>
      <c r="W123" t="s">
        <v>184</v>
      </c>
      <c r="X123" t="s">
        <v>184</v>
      </c>
      <c r="Y123" t="s">
        <v>184</v>
      </c>
      <c r="AA123" s="3" t="s">
        <v>246</v>
      </c>
      <c r="AC123" s="3" t="s">
        <v>246</v>
      </c>
      <c r="AD123" s="2"/>
    </row>
    <row r="124" spans="1:30" ht="60" x14ac:dyDescent="0.25">
      <c r="A124" s="34" t="s">
        <v>468</v>
      </c>
      <c r="B124" s="34" t="s">
        <v>7</v>
      </c>
      <c r="C124" s="34">
        <v>18</v>
      </c>
      <c r="D124" s="2" t="s">
        <v>59</v>
      </c>
      <c r="E124" s="2" t="s">
        <v>60</v>
      </c>
      <c r="F124" s="2" t="s">
        <v>331</v>
      </c>
      <c r="G124" s="5" t="s">
        <v>425</v>
      </c>
      <c r="H124" s="5" t="s">
        <v>352</v>
      </c>
      <c r="I124" s="5" t="s">
        <v>68</v>
      </c>
      <c r="J124" s="4" t="s">
        <v>72</v>
      </c>
      <c r="K124" s="2">
        <v>2018</v>
      </c>
      <c r="L124" s="23">
        <v>0.75</v>
      </c>
      <c r="M124" s="2">
        <v>2019</v>
      </c>
      <c r="N124" s="11">
        <v>0.8</v>
      </c>
      <c r="O124" s="18">
        <f>(($S124-$L124)/21*6)+$L124</f>
        <v>0.8214285714285714</v>
      </c>
      <c r="P124" s="18">
        <f>(($S124-$L124)/21*10)+$L124</f>
        <v>0.86904761904761907</v>
      </c>
      <c r="Q124" s="18">
        <f>(($S124-$L124)/21*14)+$L124</f>
        <v>0.91666666666666663</v>
      </c>
      <c r="R124" s="50">
        <f>(($S124-$L124)/21*18)+$L124</f>
        <v>0.9642857142857143</v>
      </c>
      <c r="S124" s="50">
        <v>1</v>
      </c>
      <c r="T124" s="39" t="s">
        <v>357</v>
      </c>
      <c r="U124" s="2" t="s">
        <v>149</v>
      </c>
      <c r="V124" t="s">
        <v>351</v>
      </c>
      <c r="W124" t="s">
        <v>184</v>
      </c>
      <c r="AA124" t="s">
        <v>246</v>
      </c>
      <c r="AC124" t="s">
        <v>246</v>
      </c>
      <c r="AD124" s="2" t="s">
        <v>70</v>
      </c>
    </row>
    <row r="125" spans="1:30" ht="75" hidden="1" x14ac:dyDescent="0.25">
      <c r="A125" s="34"/>
      <c r="B125" s="34" t="s">
        <v>7</v>
      </c>
      <c r="C125" s="34">
        <v>18</v>
      </c>
      <c r="D125" s="2" t="s">
        <v>59</v>
      </c>
      <c r="E125" s="35" t="s">
        <v>332</v>
      </c>
      <c r="F125" s="2" t="s">
        <v>331</v>
      </c>
      <c r="G125" s="5" t="s">
        <v>204</v>
      </c>
      <c r="H125" s="5" t="s">
        <v>298</v>
      </c>
      <c r="I125" s="5"/>
      <c r="J125" s="2" t="s">
        <v>151</v>
      </c>
      <c r="K125" s="2">
        <v>2018</v>
      </c>
      <c r="L125" s="2">
        <v>69</v>
      </c>
      <c r="M125" s="2">
        <v>2019</v>
      </c>
      <c r="N125" s="2">
        <v>68</v>
      </c>
      <c r="O125" s="18"/>
      <c r="P125" s="18"/>
      <c r="Q125" s="18"/>
      <c r="R125" s="52"/>
      <c r="S125" s="52">
        <f>L125*1.05</f>
        <v>72.45</v>
      </c>
      <c r="T125" s="37" t="s">
        <v>354</v>
      </c>
      <c r="U125" s="2" t="s">
        <v>150</v>
      </c>
      <c r="W125" t="s">
        <v>184</v>
      </c>
      <c r="X125" t="s">
        <v>184</v>
      </c>
      <c r="Y125" t="s">
        <v>184</v>
      </c>
      <c r="AA125" s="3" t="s">
        <v>246</v>
      </c>
      <c r="AC125" s="3" t="s">
        <v>246</v>
      </c>
      <c r="AD125" s="2"/>
    </row>
    <row r="126" spans="1:30" ht="60" x14ac:dyDescent="0.25">
      <c r="A126" s="34" t="s">
        <v>469</v>
      </c>
      <c r="B126" s="34" t="s">
        <v>7</v>
      </c>
      <c r="C126" s="34">
        <v>19</v>
      </c>
      <c r="D126" s="2" t="s">
        <v>346</v>
      </c>
      <c r="E126" s="2" t="s">
        <v>347</v>
      </c>
      <c r="F126" s="2" t="s">
        <v>292</v>
      </c>
      <c r="G126" s="5" t="s">
        <v>340</v>
      </c>
      <c r="H126" s="5" t="s">
        <v>390</v>
      </c>
      <c r="I126" s="5" t="s">
        <v>35</v>
      </c>
      <c r="J126" s="36" t="s">
        <v>333</v>
      </c>
      <c r="K126" s="4" t="s">
        <v>358</v>
      </c>
      <c r="L126" s="47">
        <f>12/220</f>
        <v>5.4545454545454543E-2</v>
      </c>
      <c r="M126" s="24"/>
      <c r="N126" s="47"/>
      <c r="O126" s="18">
        <f>(($S126-$L126)/21*6)+$L126</f>
        <v>0.32467532467532467</v>
      </c>
      <c r="P126" s="18">
        <f>(($S126-$L126)/21*10)+$L126</f>
        <v>0.50476190476190474</v>
      </c>
      <c r="Q126" s="18">
        <f>(($S126-$L126)/21*14)+$L126</f>
        <v>0.68484848484848482</v>
      </c>
      <c r="R126" s="48">
        <f>(($S126-$L126)/21*18)+$L126</f>
        <v>0.86493506493506489</v>
      </c>
      <c r="S126" s="48">
        <v>1</v>
      </c>
      <c r="T126" s="46" t="s">
        <v>392</v>
      </c>
      <c r="U126" s="2" t="s">
        <v>149</v>
      </c>
      <c r="V126" t="s">
        <v>351</v>
      </c>
      <c r="W126" t="s">
        <v>184</v>
      </c>
      <c r="X126" t="s">
        <v>184</v>
      </c>
      <c r="Y126" t="s">
        <v>184</v>
      </c>
      <c r="AA126" s="3" t="s">
        <v>246</v>
      </c>
      <c r="AC126" s="3" t="s">
        <v>246</v>
      </c>
    </row>
    <row r="127" spans="1:30" ht="60" hidden="1" x14ac:dyDescent="0.25">
      <c r="A127" s="34"/>
      <c r="B127" s="34" t="s">
        <v>7</v>
      </c>
      <c r="C127" s="34">
        <v>20</v>
      </c>
      <c r="D127" s="2" t="s">
        <v>61</v>
      </c>
      <c r="E127" s="2" t="s">
        <v>62</v>
      </c>
      <c r="F127" s="2" t="s">
        <v>292</v>
      </c>
      <c r="G127" s="5" t="s">
        <v>318</v>
      </c>
      <c r="H127" s="5" t="s">
        <v>136</v>
      </c>
      <c r="I127" s="5" t="s">
        <v>64</v>
      </c>
      <c r="J127" s="2" t="s">
        <v>185</v>
      </c>
      <c r="K127" s="2"/>
      <c r="L127" s="2"/>
      <c r="M127" s="2"/>
      <c r="N127" s="2"/>
      <c r="O127" s="18"/>
      <c r="P127" s="18"/>
      <c r="Q127" s="18"/>
      <c r="R127" s="4"/>
      <c r="S127" s="4"/>
      <c r="T127" s="2"/>
      <c r="U127" s="2" t="s">
        <v>150</v>
      </c>
      <c r="W127" s="3"/>
      <c r="X127" s="3" t="s">
        <v>184</v>
      </c>
      <c r="Y127" s="3" t="s">
        <v>184</v>
      </c>
      <c r="Z127" s="3"/>
      <c r="AA127" s="3" t="s">
        <v>246</v>
      </c>
      <c r="AB127" s="3"/>
      <c r="AC127" s="3" t="s">
        <v>246</v>
      </c>
      <c r="AD127" s="2"/>
    </row>
    <row r="128" spans="1:30" ht="60" x14ac:dyDescent="0.25">
      <c r="A128" s="34" t="s">
        <v>477</v>
      </c>
      <c r="B128" s="34" t="s">
        <v>7</v>
      </c>
      <c r="C128" s="34">
        <v>20</v>
      </c>
      <c r="D128" s="2" t="s">
        <v>61</v>
      </c>
      <c r="E128" s="2" t="s">
        <v>62</v>
      </c>
      <c r="F128" s="2" t="s">
        <v>292</v>
      </c>
      <c r="G128" s="5" t="s">
        <v>342</v>
      </c>
      <c r="H128" s="5" t="s">
        <v>166</v>
      </c>
      <c r="I128" s="5"/>
      <c r="J128" s="2" t="s">
        <v>15</v>
      </c>
      <c r="K128" s="2">
        <v>2018</v>
      </c>
      <c r="L128" s="2">
        <v>4.17</v>
      </c>
      <c r="M128" s="3">
        <v>2019</v>
      </c>
      <c r="N128" s="2">
        <v>4.13</v>
      </c>
      <c r="O128" s="22">
        <f>(($S128-$L128)/21*6)+$L128</f>
        <v>4.2295714285714281</v>
      </c>
      <c r="P128" s="22">
        <f>(($S128-$L128)/21*10)+$L128</f>
        <v>4.2692857142857141</v>
      </c>
      <c r="Q128" s="22">
        <f>(($S128-$L128)/21*14)+$L128</f>
        <v>4.3090000000000002</v>
      </c>
      <c r="R128" s="22">
        <f>(($S128-$L128)/21*18)+$L128</f>
        <v>4.3487142857142853</v>
      </c>
      <c r="S128" s="55">
        <f>L128*1.05</f>
        <v>4.3784999999999998</v>
      </c>
      <c r="T128" s="43" t="s">
        <v>354</v>
      </c>
      <c r="U128" s="2" t="s">
        <v>149</v>
      </c>
      <c r="V128" t="s">
        <v>351</v>
      </c>
      <c r="W128" t="s">
        <v>184</v>
      </c>
      <c r="X128" t="s">
        <v>184</v>
      </c>
      <c r="Y128" t="s">
        <v>184</v>
      </c>
      <c r="AA128" s="3" t="s">
        <v>246</v>
      </c>
      <c r="AC128" s="3" t="s">
        <v>246</v>
      </c>
      <c r="AD128" s="2"/>
    </row>
    <row r="129" spans="1:30" ht="60" hidden="1" x14ac:dyDescent="0.25">
      <c r="A129" s="34"/>
      <c r="B129" s="34" t="s">
        <v>7</v>
      </c>
      <c r="C129" s="34">
        <v>20</v>
      </c>
      <c r="D129" s="2" t="s">
        <v>61</v>
      </c>
      <c r="E129" s="2" t="s">
        <v>62</v>
      </c>
      <c r="F129" s="2" t="s">
        <v>292</v>
      </c>
      <c r="G129" s="5" t="s">
        <v>343</v>
      </c>
      <c r="H129" s="5" t="s">
        <v>341</v>
      </c>
      <c r="I129" s="5"/>
      <c r="J129" s="36" t="s">
        <v>333</v>
      </c>
      <c r="K129" s="2">
        <v>2018</v>
      </c>
      <c r="L129" s="2">
        <v>4.17</v>
      </c>
      <c r="M129" s="3">
        <v>2019</v>
      </c>
      <c r="N129" s="2">
        <v>4.13</v>
      </c>
      <c r="O129" s="18"/>
      <c r="P129" s="18"/>
      <c r="Q129" s="18"/>
      <c r="R129" s="4"/>
      <c r="S129" s="4"/>
      <c r="T129" s="2"/>
      <c r="U129" s="2" t="s">
        <v>150</v>
      </c>
      <c r="W129" t="s">
        <v>184</v>
      </c>
      <c r="X129" t="s">
        <v>184</v>
      </c>
      <c r="Y129" t="s">
        <v>184</v>
      </c>
      <c r="AA129" s="3" t="s">
        <v>246</v>
      </c>
      <c r="AC129" s="3" t="s">
        <v>246</v>
      </c>
    </row>
    <row r="130" spans="1:30" ht="60" x14ac:dyDescent="0.25">
      <c r="A130" s="34" t="s">
        <v>470</v>
      </c>
      <c r="B130" s="34" t="s">
        <v>7</v>
      </c>
      <c r="C130" s="34">
        <v>20</v>
      </c>
      <c r="D130" s="2" t="s">
        <v>61</v>
      </c>
      <c r="E130" s="2" t="s">
        <v>62</v>
      </c>
      <c r="F130" s="2" t="s">
        <v>292</v>
      </c>
      <c r="G130" s="5" t="s">
        <v>426</v>
      </c>
      <c r="H130" s="5" t="s">
        <v>137</v>
      </c>
      <c r="I130" s="5" t="s">
        <v>64</v>
      </c>
      <c r="J130" s="2" t="s">
        <v>185</v>
      </c>
      <c r="K130" s="2">
        <v>2018</v>
      </c>
      <c r="L130" s="18">
        <v>0.91119714234399596</v>
      </c>
      <c r="M130" s="2"/>
      <c r="N130" s="2"/>
      <c r="O130" s="18">
        <f>(($S130-$L130)/21*6)+$L130</f>
        <v>0.9222836731028542</v>
      </c>
      <c r="P130" s="18">
        <f>(($S130-$L130)/21*10)+$L130</f>
        <v>0.92967469360875976</v>
      </c>
      <c r="Q130" s="18">
        <f>(($S130-$L130)/21*14)+$L130</f>
        <v>0.93706571411466533</v>
      </c>
      <c r="R130" s="50">
        <f>(($S130-$L130)/21*18)+$L130</f>
        <v>0.94445673462057078</v>
      </c>
      <c r="S130" s="50">
        <v>0.95</v>
      </c>
      <c r="T130" s="39" t="s">
        <v>242</v>
      </c>
      <c r="U130" s="2" t="s">
        <v>149</v>
      </c>
      <c r="V130" t="s">
        <v>351</v>
      </c>
      <c r="W130" s="3"/>
      <c r="X130" s="3" t="s">
        <v>184</v>
      </c>
      <c r="Y130" s="3" t="s">
        <v>184</v>
      </c>
      <c r="Z130" s="3"/>
      <c r="AA130" s="3" t="s">
        <v>246</v>
      </c>
      <c r="AB130" s="3"/>
      <c r="AC130" s="3" t="s">
        <v>246</v>
      </c>
      <c r="AD130" s="2"/>
    </row>
    <row r="131" spans="1:30" ht="60" hidden="1" x14ac:dyDescent="0.25">
      <c r="A131" s="34"/>
      <c r="B131" s="34" t="s">
        <v>7</v>
      </c>
      <c r="C131" s="34">
        <v>20</v>
      </c>
      <c r="D131" s="2" t="s">
        <v>61</v>
      </c>
      <c r="E131" s="2" t="s">
        <v>62</v>
      </c>
      <c r="F131" s="2" t="s">
        <v>292</v>
      </c>
      <c r="G131" s="5" t="s">
        <v>345</v>
      </c>
      <c r="H131" s="5" t="s">
        <v>344</v>
      </c>
      <c r="I131" s="5" t="s">
        <v>64</v>
      </c>
      <c r="J131" s="36"/>
      <c r="K131" s="2"/>
      <c r="L131" s="2"/>
      <c r="M131" s="2"/>
      <c r="N131" s="2"/>
      <c r="O131" s="18"/>
      <c r="P131" s="18"/>
      <c r="Q131" s="18"/>
      <c r="R131" s="50"/>
      <c r="S131" s="50"/>
      <c r="T131" s="2"/>
      <c r="U131" s="2" t="s">
        <v>335</v>
      </c>
      <c r="W131" s="3"/>
      <c r="X131" s="3" t="s">
        <v>184</v>
      </c>
      <c r="Y131" s="3" t="s">
        <v>184</v>
      </c>
      <c r="Z131" s="3"/>
      <c r="AA131" s="3" t="s">
        <v>246</v>
      </c>
      <c r="AB131" s="3"/>
      <c r="AC131" s="3" t="s">
        <v>246</v>
      </c>
    </row>
    <row r="132" spans="1:30" ht="60" x14ac:dyDescent="0.25">
      <c r="A132" s="34" t="s">
        <v>478</v>
      </c>
      <c r="B132" s="34" t="s">
        <v>7</v>
      </c>
      <c r="C132" s="34">
        <v>20</v>
      </c>
      <c r="D132" s="2" t="s">
        <v>61</v>
      </c>
      <c r="E132" s="2" t="s">
        <v>62</v>
      </c>
      <c r="F132" s="2" t="s">
        <v>292</v>
      </c>
      <c r="G132" s="4" t="s">
        <v>336</v>
      </c>
      <c r="H132" s="24" t="s">
        <v>337</v>
      </c>
      <c r="I132" s="4"/>
      <c r="J132" s="4" t="s">
        <v>338</v>
      </c>
      <c r="K132" s="2">
        <v>2011</v>
      </c>
      <c r="L132" s="11">
        <v>0.55000000000000004</v>
      </c>
      <c r="M132" s="2"/>
      <c r="N132" s="11"/>
      <c r="O132" s="18">
        <f>(($S132-$L132)/21*6)+$L132</f>
        <v>0.55785714285714294</v>
      </c>
      <c r="P132" s="18">
        <f>(($S132-$L132)/21*10)+$L132</f>
        <v>0.5630952380952382</v>
      </c>
      <c r="Q132" s="18">
        <f>(($S132-$L132)/21*14)+$L132</f>
        <v>0.56833333333333347</v>
      </c>
      <c r="R132" s="48">
        <f>(($S132-$L132)/21*18)+$L132</f>
        <v>0.57357142857142873</v>
      </c>
      <c r="S132" s="48">
        <f>L132*1.05</f>
        <v>0.57750000000000012</v>
      </c>
      <c r="T132" s="43" t="s">
        <v>354</v>
      </c>
      <c r="U132" s="2" t="s">
        <v>149</v>
      </c>
      <c r="V132" t="s">
        <v>351</v>
      </c>
      <c r="W132" t="s">
        <v>184</v>
      </c>
      <c r="X132" t="s">
        <v>184</v>
      </c>
      <c r="Y132" t="s">
        <v>184</v>
      </c>
      <c r="Z132" t="s">
        <v>207</v>
      </c>
      <c r="AA132" s="3" t="s">
        <v>250</v>
      </c>
      <c r="AC132" s="3" t="s">
        <v>251</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60" priority="179" operator="containsText" text="NO">
      <formula>NOT(ISERROR(SEARCH("NO",U1)))</formula>
    </cfRule>
  </conditionalFormatting>
  <conditionalFormatting sqref="U58:U59">
    <cfRule type="containsText" dxfId="159" priority="178" operator="containsText" text="NO">
      <formula>NOT(ISERROR(SEARCH("NO",U58)))</formula>
    </cfRule>
  </conditionalFormatting>
  <conditionalFormatting sqref="W1">
    <cfRule type="containsText" dxfId="158" priority="177" operator="containsText" text="NO">
      <formula>NOT(ISERROR(SEARCH("NO",W1)))</formula>
    </cfRule>
  </conditionalFormatting>
  <conditionalFormatting sqref="U56">
    <cfRule type="containsText" dxfId="157" priority="176" operator="containsText" text="NO">
      <formula>NOT(ISERROR(SEARCH("NO",U56)))</formula>
    </cfRule>
  </conditionalFormatting>
  <conditionalFormatting sqref="U112:U113 U84:U92 U103 U105 U130 U95:U99 U127:U128 U115:U125 U64:U81 U33:U62 U1:U31">
    <cfRule type="containsText" dxfId="156" priority="174" operator="containsText" text="Secondary">
      <formula>NOT(ISERROR(SEARCH("Secondary",U1)))</formula>
    </cfRule>
    <cfRule type="containsText" dxfId="155" priority="175" operator="containsText" text="Primary">
      <formula>NOT(ISERROR(SEARCH("Primary",U1)))</formula>
    </cfRule>
  </conditionalFormatting>
  <conditionalFormatting sqref="U93:U94">
    <cfRule type="containsText" dxfId="154" priority="173" operator="containsText" text="NO">
      <formula>NOT(ISERROR(SEARCH("NO",U93)))</formula>
    </cfRule>
  </conditionalFormatting>
  <conditionalFormatting sqref="U93:U94">
    <cfRule type="containsText" dxfId="153" priority="171" operator="containsText" text="Secondary">
      <formula>NOT(ISERROR(SEARCH("Secondary",U93)))</formula>
    </cfRule>
    <cfRule type="containsText" dxfId="152" priority="172" operator="containsText" text="Primary">
      <formula>NOT(ISERROR(SEARCH("Primary",U93)))</formula>
    </cfRule>
  </conditionalFormatting>
  <conditionalFormatting sqref="U100">
    <cfRule type="containsText" dxfId="151" priority="170" operator="containsText" text="NO">
      <formula>NOT(ISERROR(SEARCH("NO",U100)))</formula>
    </cfRule>
  </conditionalFormatting>
  <conditionalFormatting sqref="U100">
    <cfRule type="containsText" dxfId="150" priority="168" operator="containsText" text="Secondary">
      <formula>NOT(ISERROR(SEARCH("Secondary",U100)))</formula>
    </cfRule>
    <cfRule type="containsText" dxfId="149" priority="169" operator="containsText" text="Primary">
      <formula>NOT(ISERROR(SEARCH("Primary",U100)))</formula>
    </cfRule>
  </conditionalFormatting>
  <conditionalFormatting sqref="U102">
    <cfRule type="containsText" dxfId="148" priority="167" operator="containsText" text="NO">
      <formula>NOT(ISERROR(SEARCH("NO",U102)))</formula>
    </cfRule>
  </conditionalFormatting>
  <conditionalFormatting sqref="U102">
    <cfRule type="containsText" dxfId="147" priority="165" operator="containsText" text="Secondary">
      <formula>NOT(ISERROR(SEARCH("Secondary",U102)))</formula>
    </cfRule>
    <cfRule type="containsText" dxfId="146" priority="166" operator="containsText" text="Primary">
      <formula>NOT(ISERROR(SEARCH("Primary",U102)))</formula>
    </cfRule>
  </conditionalFormatting>
  <conditionalFormatting sqref="U107">
    <cfRule type="containsText" dxfId="145" priority="158" operator="containsText" text="NO">
      <formula>NOT(ISERROR(SEARCH("NO",U107)))</formula>
    </cfRule>
  </conditionalFormatting>
  <conditionalFormatting sqref="U107">
    <cfRule type="containsText" dxfId="144" priority="156" operator="containsText" text="Secondary">
      <formula>NOT(ISERROR(SEARCH("Secondary",U107)))</formula>
    </cfRule>
    <cfRule type="containsText" dxfId="143" priority="157" operator="containsText" text="Primary">
      <formula>NOT(ISERROR(SEARCH("Primary",U107)))</formula>
    </cfRule>
  </conditionalFormatting>
  <conditionalFormatting sqref="U104">
    <cfRule type="containsText" dxfId="142" priority="164" operator="containsText" text="NO">
      <formula>NOT(ISERROR(SEARCH("NO",U104)))</formula>
    </cfRule>
  </conditionalFormatting>
  <conditionalFormatting sqref="U104">
    <cfRule type="containsText" dxfId="141" priority="162" operator="containsText" text="Secondary">
      <formula>NOT(ISERROR(SEARCH("Secondary",U104)))</formula>
    </cfRule>
    <cfRule type="containsText" dxfId="140" priority="163" operator="containsText" text="Primary">
      <formula>NOT(ISERROR(SEARCH("Primary",U104)))</formula>
    </cfRule>
  </conditionalFormatting>
  <conditionalFormatting sqref="U106">
    <cfRule type="containsText" dxfId="139" priority="161" operator="containsText" text="NO">
      <formula>NOT(ISERROR(SEARCH("NO",U106)))</formula>
    </cfRule>
  </conditionalFormatting>
  <conditionalFormatting sqref="U106">
    <cfRule type="containsText" dxfId="138" priority="159" operator="containsText" text="Secondary">
      <formula>NOT(ISERROR(SEARCH("Secondary",U106)))</formula>
    </cfRule>
    <cfRule type="containsText" dxfId="137" priority="160" operator="containsText" text="Primary">
      <formula>NOT(ISERROR(SEARCH("Primary",U106)))</formula>
    </cfRule>
  </conditionalFormatting>
  <conditionalFormatting sqref="U108:U109">
    <cfRule type="containsText" dxfId="136" priority="155" operator="containsText" text="NO">
      <formula>NOT(ISERROR(SEARCH("NO",U108)))</formula>
    </cfRule>
  </conditionalFormatting>
  <conditionalFormatting sqref="U108:U109">
    <cfRule type="containsText" dxfId="135" priority="153" operator="containsText" text="Secondary">
      <formula>NOT(ISERROR(SEARCH("Secondary",U108)))</formula>
    </cfRule>
    <cfRule type="containsText" dxfId="134" priority="154" operator="containsText" text="Primary">
      <formula>NOT(ISERROR(SEARCH("Primary",U108)))</formula>
    </cfRule>
  </conditionalFormatting>
  <conditionalFormatting sqref="U110">
    <cfRule type="containsText" dxfId="133" priority="152" operator="containsText" text="NO">
      <formula>NOT(ISERROR(SEARCH("NO",U110)))</formula>
    </cfRule>
  </conditionalFormatting>
  <conditionalFormatting sqref="U110">
    <cfRule type="containsText" dxfId="132" priority="150" operator="containsText" text="Secondary">
      <formula>NOT(ISERROR(SEARCH("Secondary",U110)))</formula>
    </cfRule>
    <cfRule type="containsText" dxfId="131" priority="151" operator="containsText" text="Primary">
      <formula>NOT(ISERROR(SEARCH("Primary",U110)))</formula>
    </cfRule>
  </conditionalFormatting>
  <conditionalFormatting sqref="U111">
    <cfRule type="containsText" dxfId="130" priority="149" operator="containsText" text="NO">
      <formula>NOT(ISERROR(SEARCH("NO",U111)))</formula>
    </cfRule>
  </conditionalFormatting>
  <conditionalFormatting sqref="U111">
    <cfRule type="containsText" dxfId="129" priority="147" operator="containsText" text="Secondary">
      <formula>NOT(ISERROR(SEARCH("Secondary",U111)))</formula>
    </cfRule>
    <cfRule type="containsText" dxfId="128" priority="148" operator="containsText" text="Primary">
      <formula>NOT(ISERROR(SEARCH("Primary",U111)))</formula>
    </cfRule>
  </conditionalFormatting>
  <conditionalFormatting sqref="U114">
    <cfRule type="containsText" dxfId="127" priority="146" operator="containsText" text="NO">
      <formula>NOT(ISERROR(SEARCH("NO",U114)))</formula>
    </cfRule>
  </conditionalFormatting>
  <conditionalFormatting sqref="U114">
    <cfRule type="containsText" dxfId="126" priority="144" operator="containsText" text="Secondary">
      <formula>NOT(ISERROR(SEARCH("Secondary",U114)))</formula>
    </cfRule>
    <cfRule type="containsText" dxfId="125" priority="145" operator="containsText" text="Primary">
      <formula>NOT(ISERROR(SEARCH("Primary",U114)))</formula>
    </cfRule>
  </conditionalFormatting>
  <conditionalFormatting sqref="X1:AB1">
    <cfRule type="containsText" dxfId="124"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3" priority="141" operator="containsText" text="No">
      <formula>NOT(ISERROR(SEARCH("No",W1)))</formula>
    </cfRule>
    <cfRule type="containsText" dxfId="122" priority="142" operator="containsText" text="Yes">
      <formula>NOT(ISERROR(SEARCH("Yes",W1)))</formula>
    </cfRule>
  </conditionalFormatting>
  <conditionalFormatting sqref="X1:AB1">
    <cfRule type="containsText" dxfId="121" priority="140" operator="containsText" text="NO">
      <formula>NOT(ISERROR(SEARCH("NO",X1)))</formula>
    </cfRule>
  </conditionalFormatting>
  <conditionalFormatting sqref="U32">
    <cfRule type="containsText" dxfId="120" priority="139" operator="containsText" text="NO">
      <formula>NOT(ISERROR(SEARCH("NO",U32)))</formula>
    </cfRule>
  </conditionalFormatting>
  <conditionalFormatting sqref="U32">
    <cfRule type="containsText" dxfId="119" priority="137" operator="containsText" text="Secondary">
      <formula>NOT(ISERROR(SEARCH("Secondary",U32)))</formula>
    </cfRule>
    <cfRule type="containsText" dxfId="118" priority="138" operator="containsText" text="Primary">
      <formula>NOT(ISERROR(SEARCH("Primary",U32)))</formula>
    </cfRule>
  </conditionalFormatting>
  <conditionalFormatting sqref="W32:Z32 AB32">
    <cfRule type="containsText" dxfId="117" priority="135" operator="containsText" text="No">
      <formula>NOT(ISERROR(SEARCH("No",W32)))</formula>
    </cfRule>
    <cfRule type="containsText" dxfId="116"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5" priority="132" operator="containsText" text="Low">
      <formula>NOT(ISERROR(SEARCH("Low",AA2)))</formula>
    </cfRule>
    <cfRule type="containsText" dxfId="114" priority="133" operator="containsText" text="Medium">
      <formula>NOT(ISERROR(SEARCH("Medium",AA2)))</formula>
    </cfRule>
    <cfRule type="containsText" dxfId="113" priority="134" operator="containsText" text="High">
      <formula>NOT(ISERROR(SEARCH("High",AA2)))</formula>
    </cfRule>
  </conditionalFormatting>
  <conditionalFormatting sqref="AB41">
    <cfRule type="containsText" dxfId="112" priority="130" operator="containsText" text="No">
      <formula>NOT(ISERROR(SEARCH("No",AB41)))</formula>
    </cfRule>
    <cfRule type="containsText" dxfId="111" priority="131" operator="containsText" text="Yes">
      <formula>NOT(ISERROR(SEARCH("Yes",AB41)))</formula>
    </cfRule>
  </conditionalFormatting>
  <conditionalFormatting sqref="AA41">
    <cfRule type="containsText" dxfId="110" priority="127" operator="containsText" text="Low">
      <formula>NOT(ISERROR(SEARCH("Low",AA41)))</formula>
    </cfRule>
    <cfRule type="containsText" dxfId="109" priority="128" operator="containsText" text="Medium">
      <formula>NOT(ISERROR(SEARCH("Medium",AA41)))</formula>
    </cfRule>
    <cfRule type="containsText" dxfId="108" priority="129" operator="containsText" text="High">
      <formula>NOT(ISERROR(SEARCH("High",AA41)))</formula>
    </cfRule>
  </conditionalFormatting>
  <conditionalFormatting sqref="AB42">
    <cfRule type="containsText" dxfId="107" priority="125" operator="containsText" text="No">
      <formula>NOT(ISERROR(SEARCH("No",AB42)))</formula>
    </cfRule>
    <cfRule type="containsText" dxfId="106" priority="126" operator="containsText" text="Yes">
      <formula>NOT(ISERROR(SEARCH("Yes",AB42)))</formula>
    </cfRule>
  </conditionalFormatting>
  <conditionalFormatting sqref="AA42">
    <cfRule type="containsText" dxfId="105" priority="122" operator="containsText" text="Low">
      <formula>NOT(ISERROR(SEARCH("Low",AA42)))</formula>
    </cfRule>
    <cfRule type="containsText" dxfId="104" priority="123" operator="containsText" text="Medium">
      <formula>NOT(ISERROR(SEARCH("Medium",AA42)))</formula>
    </cfRule>
    <cfRule type="containsText" dxfId="103" priority="124" operator="containsText" text="High">
      <formula>NOT(ISERROR(SEARCH("High",AA42)))</formula>
    </cfRule>
  </conditionalFormatting>
  <conditionalFormatting sqref="AC1">
    <cfRule type="containsText" dxfId="102" priority="121" operator="containsText" text="NO">
      <formula>NOT(ISERROR(SEARCH("NO",AC1)))</formula>
    </cfRule>
  </conditionalFormatting>
  <conditionalFormatting sqref="AC1">
    <cfRule type="containsText" dxfId="101" priority="119" operator="containsText" text="No">
      <formula>NOT(ISERROR(SEARCH("No",AC1)))</formula>
    </cfRule>
    <cfRule type="containsText" dxfId="100" priority="120" operator="containsText" text="Yes">
      <formula>NOT(ISERROR(SEARCH("Yes",AC1)))</formula>
    </cfRule>
  </conditionalFormatting>
  <conditionalFormatting sqref="AC1">
    <cfRule type="containsText" dxfId="99" priority="118" operator="containsText" text="NO">
      <formula>NOT(ISERROR(SEARCH("NO",AC1)))</formula>
    </cfRule>
  </conditionalFormatting>
  <conditionalFormatting sqref="AC121:AC123 AC130 AC125 AC127:AC128">
    <cfRule type="containsText" dxfId="98" priority="115" operator="containsText" text="Low">
      <formula>NOT(ISERROR(SEARCH("Low",AC121)))</formula>
    </cfRule>
    <cfRule type="containsText" dxfId="97" priority="116" operator="containsText" text="Medium">
      <formula>NOT(ISERROR(SEARCH("Medium",AC121)))</formula>
    </cfRule>
    <cfRule type="containsText" dxfId="96" priority="117" operator="containsText" text="High">
      <formula>NOT(ISERROR(SEARCH("High",AC121)))</formula>
    </cfRule>
  </conditionalFormatting>
  <conditionalFormatting sqref="AC41">
    <cfRule type="containsText" dxfId="95" priority="112" operator="containsText" text="Low">
      <formula>NOT(ISERROR(SEARCH("Low",AC41)))</formula>
    </cfRule>
    <cfRule type="containsText" dxfId="94" priority="113" operator="containsText" text="Medium">
      <formula>NOT(ISERROR(SEARCH("Medium",AC41)))</formula>
    </cfRule>
    <cfRule type="containsText" dxfId="93" priority="114" operator="containsText" text="High">
      <formula>NOT(ISERROR(SEARCH("High",AC41)))</formula>
    </cfRule>
  </conditionalFormatting>
  <conditionalFormatting sqref="AC42">
    <cfRule type="containsText" dxfId="92" priority="109" operator="containsText" text="Low">
      <formula>NOT(ISERROR(SEARCH("Low",AC42)))</formula>
    </cfRule>
    <cfRule type="containsText" dxfId="91" priority="110" operator="containsText" text="Medium">
      <formula>NOT(ISERROR(SEARCH("Medium",AC42)))</formula>
    </cfRule>
    <cfRule type="containsText" dxfId="90" priority="111" operator="containsText" text="High">
      <formula>NOT(ISERROR(SEARCH("High",AC42)))</formula>
    </cfRule>
  </conditionalFormatting>
  <conditionalFormatting sqref="W120:Z120 AB120">
    <cfRule type="containsText" dxfId="89" priority="107" operator="containsText" text="No">
      <formula>NOT(ISERROR(SEARCH("No",W120)))</formula>
    </cfRule>
    <cfRule type="containsText" dxfId="88" priority="108" operator="containsText" text="Yes">
      <formula>NOT(ISERROR(SEARCH("Yes",W120)))</formula>
    </cfRule>
  </conditionalFormatting>
  <conditionalFormatting sqref="AA120">
    <cfRule type="containsText" dxfId="87" priority="104" operator="containsText" text="Low">
      <formula>NOT(ISERROR(SEARCH("Low",AA120)))</formula>
    </cfRule>
    <cfRule type="containsText" dxfId="86" priority="105" operator="containsText" text="Medium">
      <formula>NOT(ISERROR(SEARCH("Medium",AA120)))</formula>
    </cfRule>
    <cfRule type="containsText" dxfId="85" priority="106" operator="containsText" text="High">
      <formula>NOT(ISERROR(SEARCH("High",AA120)))</formula>
    </cfRule>
  </conditionalFormatting>
  <conditionalFormatting sqref="AC120">
    <cfRule type="containsText" dxfId="84" priority="101" operator="containsText" text="Low">
      <formula>NOT(ISERROR(SEARCH("Low",AC120)))</formula>
    </cfRule>
    <cfRule type="containsText" dxfId="83" priority="102" operator="containsText" text="Medium">
      <formula>NOT(ISERROR(SEARCH("Medium",AC120)))</formula>
    </cfRule>
    <cfRule type="containsText" dxfId="82" priority="103" operator="containsText" text="High">
      <formula>NOT(ISERROR(SEARCH("High",AC120)))</formula>
    </cfRule>
  </conditionalFormatting>
  <conditionalFormatting sqref="W119:Z119 AB119">
    <cfRule type="containsText" dxfId="81" priority="99" operator="containsText" text="No">
      <formula>NOT(ISERROR(SEARCH("No",W119)))</formula>
    </cfRule>
    <cfRule type="containsText" dxfId="80" priority="100" operator="containsText" text="Yes">
      <formula>NOT(ISERROR(SEARCH("Yes",W119)))</formula>
    </cfRule>
  </conditionalFormatting>
  <conditionalFormatting sqref="AA119">
    <cfRule type="containsText" dxfId="79" priority="96" operator="containsText" text="Low">
      <formula>NOT(ISERROR(SEARCH("Low",AA119)))</formula>
    </cfRule>
    <cfRule type="containsText" dxfId="78" priority="97" operator="containsText" text="Medium">
      <formula>NOT(ISERROR(SEARCH("Medium",AA119)))</formula>
    </cfRule>
    <cfRule type="containsText" dxfId="77" priority="98" operator="containsText" text="High">
      <formula>NOT(ISERROR(SEARCH("High",AA119)))</formula>
    </cfRule>
  </conditionalFormatting>
  <conditionalFormatting sqref="AC119">
    <cfRule type="containsText" dxfId="76" priority="93" operator="containsText" text="Low">
      <formula>NOT(ISERROR(SEARCH("Low",AC119)))</formula>
    </cfRule>
    <cfRule type="containsText" dxfId="75" priority="94" operator="containsText" text="Medium">
      <formula>NOT(ISERROR(SEARCH("Medium",AC119)))</formula>
    </cfRule>
    <cfRule type="containsText" dxfId="74" priority="95" operator="containsText" text="High">
      <formula>NOT(ISERROR(SEARCH("High",AC119)))</formula>
    </cfRule>
  </conditionalFormatting>
  <conditionalFormatting sqref="U101">
    <cfRule type="containsText" dxfId="73" priority="92" operator="containsText" text="NO">
      <formula>NOT(ISERROR(SEARCH("NO",U101)))</formula>
    </cfRule>
  </conditionalFormatting>
  <conditionalFormatting sqref="U101">
    <cfRule type="containsText" dxfId="72" priority="90" operator="containsText" text="Secondary">
      <formula>NOT(ISERROR(SEARCH("Secondary",U101)))</formula>
    </cfRule>
    <cfRule type="containsText" dxfId="71" priority="91" operator="containsText" text="Primary">
      <formula>NOT(ISERROR(SEARCH("Primary",U101)))</formula>
    </cfRule>
  </conditionalFormatting>
  <conditionalFormatting sqref="AB101 W101:Z101">
    <cfRule type="containsText" dxfId="70" priority="88" operator="containsText" text="No">
      <formula>NOT(ISERROR(SEARCH("No",W101)))</formula>
    </cfRule>
    <cfRule type="containsText" dxfId="69" priority="89" operator="containsText" text="Yes">
      <formula>NOT(ISERROR(SEARCH("Yes",W101)))</formula>
    </cfRule>
  </conditionalFormatting>
  <conditionalFormatting sqref="AA101 AC101">
    <cfRule type="containsText" dxfId="68" priority="85" operator="containsText" text="Low">
      <formula>NOT(ISERROR(SEARCH("Low",AA101)))</formula>
    </cfRule>
    <cfRule type="containsText" dxfId="67" priority="86" operator="containsText" text="Medium">
      <formula>NOT(ISERROR(SEARCH("Medium",AA101)))</formula>
    </cfRule>
    <cfRule type="containsText" dxfId="66" priority="87" operator="containsText" text="High">
      <formula>NOT(ISERROR(SEARCH("High",AA101)))</formula>
    </cfRule>
  </conditionalFormatting>
  <conditionalFormatting sqref="U82:U83">
    <cfRule type="containsText" dxfId="65" priority="84" operator="containsText" text="NO">
      <formula>NOT(ISERROR(SEARCH("NO",U82)))</formula>
    </cfRule>
  </conditionalFormatting>
  <conditionalFormatting sqref="U82:U83">
    <cfRule type="containsText" dxfId="64" priority="82" operator="containsText" text="Secondary">
      <formula>NOT(ISERROR(SEARCH("Secondary",U82)))</formula>
    </cfRule>
    <cfRule type="containsText" dxfId="63" priority="83" operator="containsText" text="Primary">
      <formula>NOT(ISERROR(SEARCH("Primary",U82)))</formula>
    </cfRule>
  </conditionalFormatting>
  <conditionalFormatting sqref="AB82:AB83 Z82:Z83">
    <cfRule type="containsText" dxfId="62" priority="80" operator="containsText" text="No">
      <formula>NOT(ISERROR(SEARCH("No",Z82)))</formula>
    </cfRule>
    <cfRule type="containsText" dxfId="61" priority="81" operator="containsText" text="Yes">
      <formula>NOT(ISERROR(SEARCH("Yes",Z82)))</formula>
    </cfRule>
  </conditionalFormatting>
  <conditionalFormatting sqref="AA82:AA83 AC82:AC83">
    <cfRule type="containsText" dxfId="60" priority="77" operator="containsText" text="Low">
      <formula>NOT(ISERROR(SEARCH("Low",AA82)))</formula>
    </cfRule>
    <cfRule type="containsText" dxfId="59" priority="78" operator="containsText" text="Medium">
      <formula>NOT(ISERROR(SEARCH("Medium",AA82)))</formula>
    </cfRule>
    <cfRule type="containsText" dxfId="58" priority="79" operator="containsText" text="High">
      <formula>NOT(ISERROR(SEARCH("High",AA82)))</formula>
    </cfRule>
  </conditionalFormatting>
  <conditionalFormatting sqref="W82:Y83">
    <cfRule type="containsText" dxfId="57" priority="75" operator="containsText" text="No">
      <formula>NOT(ISERROR(SEARCH("No",W82)))</formula>
    </cfRule>
    <cfRule type="containsText" dxfId="56" priority="76" operator="containsText" text="Yes">
      <formula>NOT(ISERROR(SEARCH("Yes",W82)))</formula>
    </cfRule>
  </conditionalFormatting>
  <conditionalFormatting sqref="U126">
    <cfRule type="containsText" dxfId="55" priority="74" operator="containsText" text="NO">
      <formula>NOT(ISERROR(SEARCH("NO",U126)))</formula>
    </cfRule>
  </conditionalFormatting>
  <conditionalFormatting sqref="U126">
    <cfRule type="containsText" dxfId="54" priority="72" operator="containsText" text="Secondary">
      <formula>NOT(ISERROR(SEARCH("Secondary",U126)))</formula>
    </cfRule>
    <cfRule type="containsText" dxfId="53" priority="73" operator="containsText" text="Primary">
      <formula>NOT(ISERROR(SEARCH("Primary",U126)))</formula>
    </cfRule>
  </conditionalFormatting>
  <conditionalFormatting sqref="W126:Z126 AB126">
    <cfRule type="containsText" dxfId="52" priority="70" operator="containsText" text="No">
      <formula>NOT(ISERROR(SEARCH("No",W126)))</formula>
    </cfRule>
    <cfRule type="containsText" dxfId="51" priority="71" operator="containsText" text="Yes">
      <formula>NOT(ISERROR(SEARCH("Yes",W126)))</formula>
    </cfRule>
  </conditionalFormatting>
  <conditionalFormatting sqref="AA126">
    <cfRule type="containsText" dxfId="50" priority="67" operator="containsText" text="Low">
      <formula>NOT(ISERROR(SEARCH("Low",AA126)))</formula>
    </cfRule>
    <cfRule type="containsText" dxfId="49" priority="68" operator="containsText" text="Medium">
      <formula>NOT(ISERROR(SEARCH("Medium",AA126)))</formula>
    </cfRule>
    <cfRule type="containsText" dxfId="48" priority="69" operator="containsText" text="High">
      <formula>NOT(ISERROR(SEARCH("High",AA126)))</formula>
    </cfRule>
  </conditionalFormatting>
  <conditionalFormatting sqref="AC126">
    <cfRule type="containsText" dxfId="47" priority="64" operator="containsText" text="Low">
      <formula>NOT(ISERROR(SEARCH("Low",AC126)))</formula>
    </cfRule>
    <cfRule type="containsText" dxfId="46" priority="65" operator="containsText" text="Medium">
      <formula>NOT(ISERROR(SEARCH("Medium",AC126)))</formula>
    </cfRule>
    <cfRule type="containsText" dxfId="45" priority="66" operator="containsText" text="High">
      <formula>NOT(ISERROR(SEARCH("High",AC126)))</formula>
    </cfRule>
  </conditionalFormatting>
  <conditionalFormatting sqref="U129">
    <cfRule type="containsText" dxfId="44" priority="63" operator="containsText" text="NO">
      <formula>NOT(ISERROR(SEARCH("NO",U129)))</formula>
    </cfRule>
  </conditionalFormatting>
  <conditionalFormatting sqref="U129">
    <cfRule type="containsText" dxfId="43" priority="61" operator="containsText" text="Secondary">
      <formula>NOT(ISERROR(SEARCH("Secondary",U129)))</formula>
    </cfRule>
    <cfRule type="containsText" dxfId="42" priority="62" operator="containsText" text="Primary">
      <formula>NOT(ISERROR(SEARCH("Primary",U129)))</formula>
    </cfRule>
  </conditionalFormatting>
  <conditionalFormatting sqref="W129:Z129 AB129">
    <cfRule type="containsText" dxfId="41" priority="59" operator="containsText" text="No">
      <formula>NOT(ISERROR(SEARCH("No",W129)))</formula>
    </cfRule>
    <cfRule type="containsText" dxfId="40" priority="60" operator="containsText" text="Yes">
      <formula>NOT(ISERROR(SEARCH("Yes",W129)))</formula>
    </cfRule>
  </conditionalFormatting>
  <conditionalFormatting sqref="AA129">
    <cfRule type="containsText" dxfId="39" priority="56" operator="containsText" text="Low">
      <formula>NOT(ISERROR(SEARCH("Low",AA129)))</formula>
    </cfRule>
    <cfRule type="containsText" dxfId="38" priority="57" operator="containsText" text="Medium">
      <formula>NOT(ISERROR(SEARCH("Medium",AA129)))</formula>
    </cfRule>
    <cfRule type="containsText" dxfId="37" priority="58" operator="containsText" text="High">
      <formula>NOT(ISERROR(SEARCH("High",AA129)))</formula>
    </cfRule>
  </conditionalFormatting>
  <conditionalFormatting sqref="AC129">
    <cfRule type="containsText" dxfId="36" priority="53" operator="containsText" text="Low">
      <formula>NOT(ISERROR(SEARCH("Low",AC129)))</formula>
    </cfRule>
    <cfRule type="containsText" dxfId="35" priority="54" operator="containsText" text="Medium">
      <formula>NOT(ISERROR(SEARCH("Medium",AC129)))</formula>
    </cfRule>
    <cfRule type="containsText" dxfId="34" priority="55" operator="containsText" text="High">
      <formula>NOT(ISERROR(SEARCH("High",AC129)))</formula>
    </cfRule>
  </conditionalFormatting>
  <conditionalFormatting sqref="U131">
    <cfRule type="containsText" dxfId="33" priority="52" operator="containsText" text="NO">
      <formula>NOT(ISERROR(SEARCH("NO",U131)))</formula>
    </cfRule>
  </conditionalFormatting>
  <conditionalFormatting sqref="U131">
    <cfRule type="containsText" dxfId="32" priority="50" operator="containsText" text="Secondary">
      <formula>NOT(ISERROR(SEARCH("Secondary",U131)))</formula>
    </cfRule>
    <cfRule type="containsText" dxfId="31" priority="51" operator="containsText" text="Primary">
      <formula>NOT(ISERROR(SEARCH("Primary",U131)))</formula>
    </cfRule>
  </conditionalFormatting>
  <conditionalFormatting sqref="W131:Z131 AB131">
    <cfRule type="containsText" dxfId="30" priority="48" operator="containsText" text="No">
      <formula>NOT(ISERROR(SEARCH("No",W131)))</formula>
    </cfRule>
    <cfRule type="containsText" dxfId="29" priority="49" operator="containsText" text="Yes">
      <formula>NOT(ISERROR(SEARCH("Yes",W131)))</formula>
    </cfRule>
  </conditionalFormatting>
  <conditionalFormatting sqref="AA131">
    <cfRule type="containsText" dxfId="28" priority="45" operator="containsText" text="Low">
      <formula>NOT(ISERROR(SEARCH("Low",AA131)))</formula>
    </cfRule>
    <cfRule type="containsText" dxfId="27" priority="46" operator="containsText" text="Medium">
      <formula>NOT(ISERROR(SEARCH("Medium",AA131)))</formula>
    </cfRule>
    <cfRule type="containsText" dxfId="26" priority="47" operator="containsText" text="High">
      <formula>NOT(ISERROR(SEARCH("High",AA131)))</formula>
    </cfRule>
  </conditionalFormatting>
  <conditionalFormatting sqref="AC131">
    <cfRule type="containsText" dxfId="25" priority="42" operator="containsText" text="Low">
      <formula>NOT(ISERROR(SEARCH("Low",AC131)))</formula>
    </cfRule>
    <cfRule type="containsText" dxfId="24" priority="43" operator="containsText" text="Medium">
      <formula>NOT(ISERROR(SEARCH("Medium",AC131)))</formula>
    </cfRule>
    <cfRule type="containsText" dxfId="23" priority="44" operator="containsText" text="High">
      <formula>NOT(ISERROR(SEARCH("High",AC131)))</formula>
    </cfRule>
  </conditionalFormatting>
  <conditionalFormatting sqref="AB132 W132:Z132">
    <cfRule type="containsText" dxfId="22" priority="40" operator="containsText" text="No">
      <formula>NOT(ISERROR(SEARCH("No",W132)))</formula>
    </cfRule>
    <cfRule type="containsText" dxfId="21" priority="41" operator="containsText" text="Yes">
      <formula>NOT(ISERROR(SEARCH("Yes",W132)))</formula>
    </cfRule>
  </conditionalFormatting>
  <conditionalFormatting sqref="AA132">
    <cfRule type="containsText" dxfId="20" priority="37" operator="containsText" text="Low">
      <formula>NOT(ISERROR(SEARCH("Low",AA132)))</formula>
    </cfRule>
    <cfRule type="containsText" dxfId="19" priority="38" operator="containsText" text="Medium">
      <formula>NOT(ISERROR(SEARCH("Medium",AA132)))</formula>
    </cfRule>
    <cfRule type="containsText" dxfId="18" priority="39" operator="containsText" text="High">
      <formula>NOT(ISERROR(SEARCH("High",AA132)))</formula>
    </cfRule>
  </conditionalFormatting>
  <conditionalFormatting sqref="AC132">
    <cfRule type="containsText" dxfId="17" priority="34" operator="containsText" text="Low">
      <formula>NOT(ISERROR(SEARCH("Low",AC132)))</formula>
    </cfRule>
    <cfRule type="containsText" dxfId="16" priority="35" operator="containsText" text="Medium">
      <formula>NOT(ISERROR(SEARCH("Medium",AC132)))</formula>
    </cfRule>
    <cfRule type="containsText" dxfId="15" priority="36" operator="containsText" text="High">
      <formula>NOT(ISERROR(SEARCH("High",AC132)))</formula>
    </cfRule>
  </conditionalFormatting>
  <conditionalFormatting sqref="U132">
    <cfRule type="containsText" dxfId="14" priority="33" operator="containsText" text="NO">
      <formula>NOT(ISERROR(SEARCH("NO",U132)))</formula>
    </cfRule>
  </conditionalFormatting>
  <conditionalFormatting sqref="U132">
    <cfRule type="containsText" dxfId="13" priority="31" operator="containsText" text="Secondary">
      <formula>NOT(ISERROR(SEARCH("Secondary",U132)))</formula>
    </cfRule>
    <cfRule type="containsText" dxfId="12" priority="32" operator="containsText" text="Primary">
      <formula>NOT(ISERROR(SEARCH("Primary",U132)))</formula>
    </cfRule>
  </conditionalFormatting>
  <conditionalFormatting sqref="U63">
    <cfRule type="containsText" dxfId="11" priority="30" operator="containsText" text="NO">
      <formula>NOT(ISERROR(SEARCH("NO",U63)))</formula>
    </cfRule>
  </conditionalFormatting>
  <conditionalFormatting sqref="U63">
    <cfRule type="containsText" dxfId="10" priority="28" operator="containsText" text="Secondary">
      <formula>NOT(ISERROR(SEARCH("Secondary",U63)))</formula>
    </cfRule>
    <cfRule type="containsText" dxfId="9" priority="29" operator="containsText" text="Primary">
      <formula>NOT(ISERROR(SEARCH("Primary",U63)))</formula>
    </cfRule>
  </conditionalFormatting>
  <conditionalFormatting sqref="W63:Z63 AB63">
    <cfRule type="containsText" dxfId="8" priority="26" operator="containsText" text="No">
      <formula>NOT(ISERROR(SEARCH("No",W63)))</formula>
    </cfRule>
    <cfRule type="containsText" dxfId="7" priority="27" operator="containsText" text="Yes">
      <formula>NOT(ISERROR(SEARCH("Yes",W63)))</formula>
    </cfRule>
  </conditionalFormatting>
  <conditionalFormatting sqref="AC63 AA63">
    <cfRule type="containsText" dxfId="6" priority="23" operator="containsText" text="Low">
      <formula>NOT(ISERROR(SEARCH("Low",AA63)))</formula>
    </cfRule>
    <cfRule type="containsText" dxfId="5" priority="24" operator="containsText" text="Medium">
      <formula>NOT(ISERROR(SEARCH("Medium",AA63)))</formula>
    </cfRule>
    <cfRule type="containsText" dxfId="4" priority="25" operator="containsText" text="High">
      <formula>NOT(ISERROR(SEARCH("High",AA63)))</formula>
    </cfRule>
  </conditionalFormatting>
  <conditionalFormatting sqref="V2:V132">
    <cfRule type="containsText" dxfId="3" priority="21" operator="containsText" text="Increase">
      <formula>NOT(ISERROR(SEARCH("Increase",V2)))</formula>
    </cfRule>
    <cfRule type="containsText" dxfId="2"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69" t="s">
        <v>510</v>
      </c>
      <c r="B1" s="69"/>
      <c r="C1" s="69"/>
      <c r="D1" s="69"/>
      <c r="E1" s="69"/>
    </row>
    <row r="2" spans="1:6" x14ac:dyDescent="0.25">
      <c r="A2" s="69" t="s">
        <v>509</v>
      </c>
      <c r="B2" s="69"/>
      <c r="C2" s="69"/>
      <c r="D2" s="69"/>
      <c r="E2" s="69"/>
    </row>
    <row r="3" spans="1:6" x14ac:dyDescent="0.25">
      <c r="A3" s="70" t="s">
        <v>511</v>
      </c>
      <c r="B3" s="70"/>
      <c r="C3" s="70"/>
      <c r="D3" s="70"/>
      <c r="E3" s="70"/>
      <c r="F3" s="7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1"/>
  <sheetViews>
    <sheetView tabSelected="1" workbookViewId="0">
      <selection activeCell="E10" sqref="E10"/>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 min="9" max="9" width="38" customWidth="1"/>
    <col min="10" max="10" width="43" customWidth="1"/>
  </cols>
  <sheetData>
    <row r="1" spans="1:12" ht="30" x14ac:dyDescent="0.25">
      <c r="A1" s="25" t="s">
        <v>480</v>
      </c>
      <c r="B1" s="25" t="s">
        <v>1</v>
      </c>
      <c r="C1" s="25" t="s">
        <v>2</v>
      </c>
      <c r="D1" s="25" t="s">
        <v>147</v>
      </c>
      <c r="E1" s="25" t="s">
        <v>102</v>
      </c>
      <c r="F1" s="25" t="s">
        <v>63</v>
      </c>
      <c r="G1" s="25" t="s">
        <v>10</v>
      </c>
      <c r="H1" s="25" t="s">
        <v>181</v>
      </c>
      <c r="I1" s="25" t="s">
        <v>512</v>
      </c>
      <c r="J1" s="25" t="s">
        <v>9</v>
      </c>
      <c r="K1" s="25" t="s">
        <v>519</v>
      </c>
      <c r="L1" s="25" t="s">
        <v>577</v>
      </c>
    </row>
    <row r="2" spans="1:12" ht="75" x14ac:dyDescent="0.25">
      <c r="A2" t="s">
        <v>441</v>
      </c>
      <c r="B2" s="31" t="s">
        <v>0</v>
      </c>
      <c r="C2" s="2" t="s">
        <v>252</v>
      </c>
      <c r="D2" s="5" t="s">
        <v>301</v>
      </c>
      <c r="E2" s="5" t="s">
        <v>189</v>
      </c>
      <c r="F2" s="5" t="s">
        <v>68</v>
      </c>
      <c r="G2" s="2" t="s">
        <v>506</v>
      </c>
      <c r="H2" s="46" t="s">
        <v>384</v>
      </c>
      <c r="I2" s="5" t="s">
        <v>521</v>
      </c>
      <c r="J2" s="8" t="s">
        <v>514</v>
      </c>
      <c r="K2" t="s">
        <v>401</v>
      </c>
      <c r="L2" t="s">
        <v>580</v>
      </c>
    </row>
    <row r="3" spans="1:12" ht="45" x14ac:dyDescent="0.25">
      <c r="A3" t="s">
        <v>443</v>
      </c>
      <c r="B3" s="31" t="s">
        <v>0</v>
      </c>
      <c r="C3" s="2" t="s">
        <v>252</v>
      </c>
      <c r="D3" s="5" t="s">
        <v>266</v>
      </c>
      <c r="E3" s="5" t="s">
        <v>497</v>
      </c>
      <c r="F3" s="5" t="s">
        <v>35</v>
      </c>
      <c r="G3" s="2" t="s">
        <v>13</v>
      </c>
      <c r="H3" s="46" t="s">
        <v>377</v>
      </c>
      <c r="I3" s="5" t="s">
        <v>522</v>
      </c>
      <c r="J3" s="8" t="s">
        <v>514</v>
      </c>
      <c r="K3" t="s">
        <v>351</v>
      </c>
      <c r="L3" t="s">
        <v>580</v>
      </c>
    </row>
    <row r="4" spans="1:12" ht="45" x14ac:dyDescent="0.25">
      <c r="A4" t="s">
        <v>442</v>
      </c>
      <c r="B4" s="31" t="s">
        <v>0</v>
      </c>
      <c r="C4" s="2" t="s">
        <v>252</v>
      </c>
      <c r="D4" s="5" t="s">
        <v>408</v>
      </c>
      <c r="E4" s="5" t="s">
        <v>498</v>
      </c>
      <c r="F4" s="5" t="s">
        <v>35</v>
      </c>
      <c r="G4" s="2" t="s">
        <v>13</v>
      </c>
      <c r="H4" s="46" t="s">
        <v>377</v>
      </c>
      <c r="I4" s="5" t="s">
        <v>523</v>
      </c>
      <c r="J4" s="8" t="s">
        <v>514</v>
      </c>
      <c r="K4" t="s">
        <v>351</v>
      </c>
      <c r="L4" t="s">
        <v>580</v>
      </c>
    </row>
    <row r="5" spans="1:12" ht="30" x14ac:dyDescent="0.25">
      <c r="A5" t="s">
        <v>444</v>
      </c>
      <c r="B5" s="31" t="s">
        <v>0</v>
      </c>
      <c r="C5" s="2" t="s">
        <v>324</v>
      </c>
      <c r="D5" s="6" t="s">
        <v>409</v>
      </c>
      <c r="E5" s="19" t="s">
        <v>520</v>
      </c>
      <c r="F5" s="5" t="s">
        <v>434</v>
      </c>
      <c r="G5" s="5" t="s">
        <v>433</v>
      </c>
      <c r="H5" s="43" t="s">
        <v>354</v>
      </c>
      <c r="I5" s="5" t="s">
        <v>553</v>
      </c>
      <c r="J5" s="8" t="s">
        <v>514</v>
      </c>
      <c r="K5" t="s">
        <v>351</v>
      </c>
      <c r="L5" t="s">
        <v>580</v>
      </c>
    </row>
    <row r="6" spans="1:12" ht="75" x14ac:dyDescent="0.25">
      <c r="A6" t="s">
        <v>445</v>
      </c>
      <c r="B6" s="31" t="s">
        <v>0</v>
      </c>
      <c r="C6" s="2" t="s">
        <v>93</v>
      </c>
      <c r="D6" s="5" t="s">
        <v>410</v>
      </c>
      <c r="E6" s="5" t="s">
        <v>267</v>
      </c>
      <c r="F6" s="5" t="s">
        <v>64</v>
      </c>
      <c r="G6" s="4" t="s">
        <v>73</v>
      </c>
      <c r="H6" s="46" t="s">
        <v>377</v>
      </c>
      <c r="I6" s="5" t="s">
        <v>524</v>
      </c>
      <c r="J6" s="5" t="s">
        <v>587</v>
      </c>
      <c r="K6" t="s">
        <v>351</v>
      </c>
      <c r="L6" t="s">
        <v>580</v>
      </c>
    </row>
    <row r="7" spans="1:12" ht="75" x14ac:dyDescent="0.25">
      <c r="A7" t="s">
        <v>446</v>
      </c>
      <c r="B7" s="31" t="s">
        <v>0</v>
      </c>
      <c r="C7" s="2" t="s">
        <v>93</v>
      </c>
      <c r="D7" s="5" t="s">
        <v>263</v>
      </c>
      <c r="E7" s="5" t="s">
        <v>112</v>
      </c>
      <c r="F7" s="5" t="s">
        <v>68</v>
      </c>
      <c r="G7" s="2" t="s">
        <v>12</v>
      </c>
      <c r="H7" s="46" t="s">
        <v>428</v>
      </c>
      <c r="I7" s="5" t="s">
        <v>525</v>
      </c>
      <c r="J7" s="5" t="s">
        <v>588</v>
      </c>
      <c r="K7" t="s">
        <v>351</v>
      </c>
      <c r="L7" t="s">
        <v>580</v>
      </c>
    </row>
    <row r="8" spans="1:12" ht="45" x14ac:dyDescent="0.25">
      <c r="A8" t="s">
        <v>449</v>
      </c>
      <c r="B8" s="31" t="s">
        <v>0</v>
      </c>
      <c r="C8" s="2" t="s">
        <v>93</v>
      </c>
      <c r="D8" s="5" t="s">
        <v>261</v>
      </c>
      <c r="E8" s="5" t="s">
        <v>108</v>
      </c>
      <c r="F8" s="5" t="s">
        <v>68</v>
      </c>
      <c r="G8" s="2" t="s">
        <v>12</v>
      </c>
      <c r="H8" s="46" t="s">
        <v>393</v>
      </c>
      <c r="I8" s="5" t="s">
        <v>527</v>
      </c>
      <c r="J8" s="8" t="s">
        <v>514</v>
      </c>
      <c r="K8" t="s">
        <v>401</v>
      </c>
      <c r="L8" t="s">
        <v>580</v>
      </c>
    </row>
    <row r="9" spans="1:12" ht="60" x14ac:dyDescent="0.25">
      <c r="A9" t="s">
        <v>490</v>
      </c>
      <c r="B9" s="31" t="s">
        <v>0</v>
      </c>
      <c r="C9" s="2" t="s">
        <v>93</v>
      </c>
      <c r="D9" s="5" t="s">
        <v>320</v>
      </c>
      <c r="E9" s="5" t="s">
        <v>262</v>
      </c>
      <c r="F9" s="5" t="s">
        <v>68</v>
      </c>
      <c r="G9" s="2" t="s">
        <v>13</v>
      </c>
      <c r="H9" s="46" t="s">
        <v>427</v>
      </c>
      <c r="I9" s="5" t="s">
        <v>526</v>
      </c>
      <c r="J9" s="8" t="s">
        <v>514</v>
      </c>
      <c r="K9" t="s">
        <v>351</v>
      </c>
      <c r="L9" t="s">
        <v>580</v>
      </c>
    </row>
    <row r="10" spans="1:12" ht="60" x14ac:dyDescent="0.25">
      <c r="A10" t="s">
        <v>491</v>
      </c>
      <c r="B10" s="31" t="s">
        <v>0</v>
      </c>
      <c r="C10" s="2" t="s">
        <v>93</v>
      </c>
      <c r="D10" s="5" t="s">
        <v>411</v>
      </c>
      <c r="E10" s="5" t="s">
        <v>407</v>
      </c>
      <c r="F10" s="5" t="s">
        <v>68</v>
      </c>
      <c r="G10" s="2" t="s">
        <v>17</v>
      </c>
      <c r="H10" s="46" t="s">
        <v>391</v>
      </c>
      <c r="I10" s="5" t="s">
        <v>528</v>
      </c>
      <c r="J10" s="8" t="s">
        <v>514</v>
      </c>
      <c r="K10" t="s">
        <v>351</v>
      </c>
      <c r="L10" t="s">
        <v>583</v>
      </c>
    </row>
    <row r="11" spans="1:12" ht="45" x14ac:dyDescent="0.25">
      <c r="A11" t="s">
        <v>447</v>
      </c>
      <c r="B11" s="31" t="s">
        <v>0</v>
      </c>
      <c r="C11" s="2" t="s">
        <v>334</v>
      </c>
      <c r="D11" s="5" t="s">
        <v>412</v>
      </c>
      <c r="E11" s="5" t="s">
        <v>295</v>
      </c>
      <c r="F11" s="5" t="s">
        <v>68</v>
      </c>
      <c r="G11" s="2" t="s">
        <v>151</v>
      </c>
      <c r="H11" s="46" t="s">
        <v>378</v>
      </c>
      <c r="I11" s="5" t="s">
        <v>596</v>
      </c>
      <c r="J11" s="8" t="s">
        <v>514</v>
      </c>
      <c r="K11" t="s">
        <v>351</v>
      </c>
      <c r="L11" t="s">
        <v>585</v>
      </c>
    </row>
    <row r="12" spans="1:12" ht="60" x14ac:dyDescent="0.25">
      <c r="A12" t="s">
        <v>448</v>
      </c>
      <c r="B12" s="31" t="s">
        <v>0</v>
      </c>
      <c r="C12" s="2" t="s">
        <v>98</v>
      </c>
      <c r="D12" s="5" t="s">
        <v>272</v>
      </c>
      <c r="E12" s="5" t="s">
        <v>394</v>
      </c>
      <c r="F12" s="5" t="s">
        <v>35</v>
      </c>
      <c r="G12" s="2" t="s">
        <v>436</v>
      </c>
      <c r="H12" s="38" t="s">
        <v>355</v>
      </c>
      <c r="I12" s="5" t="s">
        <v>529</v>
      </c>
      <c r="J12" s="8" t="s">
        <v>514</v>
      </c>
      <c r="K12" t="s">
        <v>401</v>
      </c>
      <c r="L12" t="s">
        <v>584</v>
      </c>
    </row>
    <row r="13" spans="1:12" ht="120" x14ac:dyDescent="0.25">
      <c r="A13" t="s">
        <v>450</v>
      </c>
      <c r="B13" s="32" t="s">
        <v>4</v>
      </c>
      <c r="C13" s="2" t="s">
        <v>325</v>
      </c>
      <c r="D13" s="5" t="s">
        <v>276</v>
      </c>
      <c r="E13" s="5" t="s">
        <v>123</v>
      </c>
      <c r="F13" s="5" t="s">
        <v>81</v>
      </c>
      <c r="G13" s="2" t="s">
        <v>517</v>
      </c>
      <c r="H13" s="46" t="s">
        <v>380</v>
      </c>
      <c r="I13" s="5" t="s">
        <v>557</v>
      </c>
      <c r="J13" s="5" t="s">
        <v>589</v>
      </c>
      <c r="K13" t="s">
        <v>401</v>
      </c>
      <c r="L13" t="s">
        <v>578</v>
      </c>
    </row>
    <row r="14" spans="1:12" ht="45" x14ac:dyDescent="0.25">
      <c r="A14" t="s">
        <v>451</v>
      </c>
      <c r="B14" s="32" t="s">
        <v>4</v>
      </c>
      <c r="C14" s="2" t="s">
        <v>325</v>
      </c>
      <c r="D14" s="5" t="s">
        <v>277</v>
      </c>
      <c r="E14" s="5" t="s">
        <v>120</v>
      </c>
      <c r="F14" s="5" t="s">
        <v>35</v>
      </c>
      <c r="G14" s="2" t="s">
        <v>436</v>
      </c>
      <c r="H14" s="46" t="s">
        <v>381</v>
      </c>
      <c r="I14" s="5" t="s">
        <v>530</v>
      </c>
      <c r="J14" s="8" t="s">
        <v>514</v>
      </c>
      <c r="K14" t="s">
        <v>351</v>
      </c>
      <c r="L14" t="s">
        <v>582</v>
      </c>
    </row>
    <row r="15" spans="1:12" ht="60" x14ac:dyDescent="0.25">
      <c r="A15" t="s">
        <v>452</v>
      </c>
      <c r="B15" s="32" t="s">
        <v>4</v>
      </c>
      <c r="C15" s="2" t="s">
        <v>325</v>
      </c>
      <c r="D15" s="5" t="s">
        <v>278</v>
      </c>
      <c r="E15" s="5" t="s">
        <v>531</v>
      </c>
      <c r="F15" s="5" t="s">
        <v>375</v>
      </c>
      <c r="G15" s="4" t="s">
        <v>594</v>
      </c>
      <c r="H15" s="43" t="s">
        <v>354</v>
      </c>
      <c r="I15" s="5" t="s">
        <v>595</v>
      </c>
      <c r="J15" s="8" t="s">
        <v>514</v>
      </c>
      <c r="K15" t="s">
        <v>351</v>
      </c>
      <c r="L15" t="s">
        <v>583</v>
      </c>
    </row>
    <row r="16" spans="1:12" ht="75" x14ac:dyDescent="0.25">
      <c r="A16" t="s">
        <v>453</v>
      </c>
      <c r="B16" s="32" t="s">
        <v>4</v>
      </c>
      <c r="C16" s="2" t="s">
        <v>325</v>
      </c>
      <c r="D16" s="5" t="s">
        <v>245</v>
      </c>
      <c r="E16" s="5" t="s">
        <v>121</v>
      </c>
      <c r="F16" s="5" t="s">
        <v>67</v>
      </c>
      <c r="G16" s="4" t="s">
        <v>72</v>
      </c>
      <c r="H16" s="46" t="s">
        <v>377</v>
      </c>
      <c r="I16" s="5" t="s">
        <v>532</v>
      </c>
      <c r="J16" s="8" t="s">
        <v>514</v>
      </c>
      <c r="K16" t="s">
        <v>351</v>
      </c>
      <c r="L16" t="s">
        <v>581</v>
      </c>
    </row>
    <row r="17" spans="1:12" ht="45" x14ac:dyDescent="0.25">
      <c r="A17" t="s">
        <v>454</v>
      </c>
      <c r="B17" s="32" t="s">
        <v>4</v>
      </c>
      <c r="C17" s="2" t="s">
        <v>326</v>
      </c>
      <c r="D17" s="5" t="s">
        <v>382</v>
      </c>
      <c r="E17" s="5" t="s">
        <v>383</v>
      </c>
      <c r="F17" s="5"/>
      <c r="G17" s="2" t="s">
        <v>436</v>
      </c>
      <c r="H17" s="46" t="s">
        <v>385</v>
      </c>
      <c r="I17" s="5" t="s">
        <v>533</v>
      </c>
      <c r="J17" s="8" t="s">
        <v>514</v>
      </c>
      <c r="K17" t="s">
        <v>351</v>
      </c>
      <c r="L17" t="s">
        <v>578</v>
      </c>
    </row>
    <row r="18" spans="1:12" ht="60" x14ac:dyDescent="0.25">
      <c r="A18" t="s">
        <v>455</v>
      </c>
      <c r="B18" s="32" t="s">
        <v>4</v>
      </c>
      <c r="C18" s="2" t="s">
        <v>253</v>
      </c>
      <c r="D18" s="5" t="s">
        <v>413</v>
      </c>
      <c r="E18" s="5" t="s">
        <v>349</v>
      </c>
      <c r="F18" s="5" t="s">
        <v>72</v>
      </c>
      <c r="G18" s="4" t="s">
        <v>348</v>
      </c>
      <c r="H18" s="43" t="s">
        <v>354</v>
      </c>
      <c r="I18" s="5" t="s">
        <v>534</v>
      </c>
      <c r="J18" s="8" t="s">
        <v>514</v>
      </c>
      <c r="K18" t="s">
        <v>351</v>
      </c>
      <c r="L18" t="s">
        <v>580</v>
      </c>
    </row>
    <row r="19" spans="1:12" ht="45" x14ac:dyDescent="0.25">
      <c r="A19" t="s">
        <v>456</v>
      </c>
      <c r="B19" s="32" t="s">
        <v>4</v>
      </c>
      <c r="C19" s="2" t="s">
        <v>253</v>
      </c>
      <c r="D19" s="5" t="s">
        <v>414</v>
      </c>
      <c r="E19" s="5" t="s">
        <v>395</v>
      </c>
      <c r="F19" s="5" t="s">
        <v>35</v>
      </c>
      <c r="G19" s="2" t="s">
        <v>151</v>
      </c>
      <c r="H19" s="46" t="s">
        <v>378</v>
      </c>
      <c r="I19" s="5" t="s">
        <v>535</v>
      </c>
      <c r="J19" s="8" t="s">
        <v>514</v>
      </c>
      <c r="K19" t="s">
        <v>351</v>
      </c>
      <c r="L19" t="s">
        <v>579</v>
      </c>
    </row>
    <row r="20" spans="1:12" ht="30" x14ac:dyDescent="0.25">
      <c r="A20" t="s">
        <v>457</v>
      </c>
      <c r="B20" s="32" t="s">
        <v>4</v>
      </c>
      <c r="C20" s="2" t="s">
        <v>327</v>
      </c>
      <c r="D20" s="5" t="s">
        <v>415</v>
      </c>
      <c r="E20" s="29" t="s">
        <v>402</v>
      </c>
      <c r="F20" s="5"/>
      <c r="G20" s="4" t="s">
        <v>72</v>
      </c>
      <c r="H20" s="46" t="s">
        <v>377</v>
      </c>
      <c r="I20" s="5" t="s">
        <v>536</v>
      </c>
      <c r="J20" s="8" t="s">
        <v>514</v>
      </c>
      <c r="K20" t="s">
        <v>351</v>
      </c>
      <c r="L20" t="s">
        <v>578</v>
      </c>
    </row>
    <row r="21" spans="1:12" ht="75" x14ac:dyDescent="0.25">
      <c r="A21" t="s">
        <v>458</v>
      </c>
      <c r="B21" s="57" t="s">
        <v>5</v>
      </c>
      <c r="C21" s="2" t="s">
        <v>254</v>
      </c>
      <c r="D21" s="5" t="s">
        <v>416</v>
      </c>
      <c r="E21" s="5" t="s">
        <v>128</v>
      </c>
      <c r="F21" s="5" t="s">
        <v>64</v>
      </c>
      <c r="G21" s="4" t="s">
        <v>592</v>
      </c>
      <c r="H21" s="46" t="s">
        <v>386</v>
      </c>
      <c r="I21" s="5" t="s">
        <v>552</v>
      </c>
      <c r="J21" s="5" t="s">
        <v>590</v>
      </c>
      <c r="K21" t="s">
        <v>351</v>
      </c>
      <c r="L21" t="s">
        <v>576</v>
      </c>
    </row>
    <row r="22" spans="1:12" ht="60" x14ac:dyDescent="0.25">
      <c r="A22" t="s">
        <v>459</v>
      </c>
      <c r="B22" s="57" t="s">
        <v>5</v>
      </c>
      <c r="C22" s="2" t="s">
        <v>254</v>
      </c>
      <c r="D22" s="5" t="s">
        <v>417</v>
      </c>
      <c r="E22" s="5" t="s">
        <v>323</v>
      </c>
      <c r="F22" s="5"/>
      <c r="G22" s="2" t="s">
        <v>436</v>
      </c>
      <c r="H22" s="39" t="s">
        <v>356</v>
      </c>
      <c r="I22" s="5" t="s">
        <v>537</v>
      </c>
      <c r="J22" s="5" t="s">
        <v>586</v>
      </c>
      <c r="K22" t="s">
        <v>351</v>
      </c>
      <c r="L22" t="s">
        <v>576</v>
      </c>
    </row>
    <row r="23" spans="1:12" ht="60" x14ac:dyDescent="0.25">
      <c r="A23" t="s">
        <v>460</v>
      </c>
      <c r="B23" s="57" t="s">
        <v>5</v>
      </c>
      <c r="C23" s="2" t="s">
        <v>254</v>
      </c>
      <c r="D23" s="5" t="s">
        <v>492</v>
      </c>
      <c r="E23" s="5" t="s">
        <v>396</v>
      </c>
      <c r="F23" s="5"/>
      <c r="G23" s="2" t="s">
        <v>436</v>
      </c>
      <c r="H23" s="43" t="s">
        <v>354</v>
      </c>
      <c r="I23" s="5" t="s">
        <v>538</v>
      </c>
      <c r="J23" s="8" t="s">
        <v>514</v>
      </c>
      <c r="K23" t="s">
        <v>351</v>
      </c>
      <c r="L23" t="s">
        <v>576</v>
      </c>
    </row>
    <row r="24" spans="1:12" ht="45" x14ac:dyDescent="0.25">
      <c r="A24" t="s">
        <v>461</v>
      </c>
      <c r="B24" s="57" t="s">
        <v>5</v>
      </c>
      <c r="C24" s="2" t="s">
        <v>254</v>
      </c>
      <c r="D24" s="5" t="s">
        <v>432</v>
      </c>
      <c r="E24" s="5" t="s">
        <v>558</v>
      </c>
      <c r="F24" s="5"/>
      <c r="G24" s="2" t="s">
        <v>559</v>
      </c>
      <c r="H24" s="39" t="s">
        <v>350</v>
      </c>
      <c r="I24" s="5" t="s">
        <v>560</v>
      </c>
      <c r="J24" s="8" t="s">
        <v>514</v>
      </c>
      <c r="K24" t="s">
        <v>401</v>
      </c>
      <c r="L24" t="s">
        <v>576</v>
      </c>
    </row>
    <row r="25" spans="1:12" ht="30" x14ac:dyDescent="0.25">
      <c r="A25" t="s">
        <v>462</v>
      </c>
      <c r="B25" s="57" t="s">
        <v>5</v>
      </c>
      <c r="C25" s="2" t="s">
        <v>254</v>
      </c>
      <c r="D25" s="5" t="s">
        <v>418</v>
      </c>
      <c r="E25" s="5" t="s">
        <v>362</v>
      </c>
      <c r="F25" s="5"/>
      <c r="G25" s="2" t="s">
        <v>15</v>
      </c>
      <c r="H25" s="46" t="s">
        <v>377</v>
      </c>
      <c r="I25" s="5" t="s">
        <v>539</v>
      </c>
      <c r="J25" s="8" t="s">
        <v>514</v>
      </c>
      <c r="K25" t="s">
        <v>351</v>
      </c>
      <c r="L25" t="s">
        <v>576</v>
      </c>
    </row>
    <row r="26" spans="1:12" ht="45" x14ac:dyDescent="0.25">
      <c r="A26" t="s">
        <v>463</v>
      </c>
      <c r="B26" s="57" t="s">
        <v>5</v>
      </c>
      <c r="C26" s="2" t="s">
        <v>99</v>
      </c>
      <c r="D26" s="5" t="s">
        <v>419</v>
      </c>
      <c r="E26" s="5" t="s">
        <v>363</v>
      </c>
      <c r="F26" s="8" t="s">
        <v>65</v>
      </c>
      <c r="G26" s="2" t="s">
        <v>15</v>
      </c>
      <c r="H26" s="46" t="s">
        <v>377</v>
      </c>
      <c r="I26" s="5" t="s">
        <v>540</v>
      </c>
      <c r="J26" s="8" t="s">
        <v>514</v>
      </c>
      <c r="K26" t="s">
        <v>351</v>
      </c>
      <c r="L26" t="s">
        <v>575</v>
      </c>
    </row>
    <row r="27" spans="1:12" ht="105" x14ac:dyDescent="0.25">
      <c r="A27" t="s">
        <v>464</v>
      </c>
      <c r="B27" s="33" t="s">
        <v>6</v>
      </c>
      <c r="C27" s="2" t="s">
        <v>328</v>
      </c>
      <c r="D27" s="5" t="s">
        <v>420</v>
      </c>
      <c r="E27" s="5" t="s">
        <v>368</v>
      </c>
      <c r="F27" s="5" t="s">
        <v>89</v>
      </c>
      <c r="G27" s="2" t="s">
        <v>15</v>
      </c>
      <c r="H27" s="39" t="s">
        <v>356</v>
      </c>
      <c r="I27" s="5" t="s">
        <v>569</v>
      </c>
      <c r="J27" s="5" t="s">
        <v>562</v>
      </c>
      <c r="K27" t="s">
        <v>401</v>
      </c>
      <c r="L27" t="s">
        <v>572</v>
      </c>
    </row>
    <row r="28" spans="1:12" ht="75" x14ac:dyDescent="0.25">
      <c r="A28" t="s">
        <v>471</v>
      </c>
      <c r="B28" s="33" t="s">
        <v>6</v>
      </c>
      <c r="C28" s="2" t="s">
        <v>328</v>
      </c>
      <c r="D28" s="5" t="s">
        <v>421</v>
      </c>
      <c r="E28" s="5" t="s">
        <v>369</v>
      </c>
      <c r="F28" s="5" t="s">
        <v>89</v>
      </c>
      <c r="G28" s="2" t="s">
        <v>15</v>
      </c>
      <c r="H28" s="39" t="s">
        <v>356</v>
      </c>
      <c r="I28" s="5" t="s">
        <v>541</v>
      </c>
      <c r="J28" s="5" t="s">
        <v>563</v>
      </c>
      <c r="K28" t="s">
        <v>401</v>
      </c>
      <c r="L28" t="s">
        <v>572</v>
      </c>
    </row>
    <row r="29" spans="1:12" ht="60" x14ac:dyDescent="0.25">
      <c r="A29" t="s">
        <v>465</v>
      </c>
      <c r="B29" s="33" t="s">
        <v>6</v>
      </c>
      <c r="C29" s="30" t="s">
        <v>322</v>
      </c>
      <c r="D29" s="5" t="s">
        <v>313</v>
      </c>
      <c r="E29" s="5" t="s">
        <v>161</v>
      </c>
      <c r="F29" s="5" t="s">
        <v>35</v>
      </c>
      <c r="G29" s="2" t="s">
        <v>15</v>
      </c>
      <c r="H29" s="43" t="s">
        <v>361</v>
      </c>
      <c r="I29" s="5" t="s">
        <v>542</v>
      </c>
      <c r="J29" s="5" t="s">
        <v>564</v>
      </c>
      <c r="K29" t="s">
        <v>351</v>
      </c>
      <c r="L29" t="s">
        <v>572</v>
      </c>
    </row>
    <row r="30" spans="1:12" ht="60" x14ac:dyDescent="0.25">
      <c r="A30" t="s">
        <v>472</v>
      </c>
      <c r="B30" s="33" t="s">
        <v>6</v>
      </c>
      <c r="C30" s="2" t="s">
        <v>100</v>
      </c>
      <c r="D30" s="5" t="s">
        <v>162</v>
      </c>
      <c r="E30" s="5" t="s">
        <v>547</v>
      </c>
      <c r="F30" s="5" t="s">
        <v>89</v>
      </c>
      <c r="G30" s="3" t="s">
        <v>72</v>
      </c>
      <c r="H30" s="39" t="s">
        <v>360</v>
      </c>
      <c r="I30" s="5" t="s">
        <v>545</v>
      </c>
      <c r="J30" s="5" t="s">
        <v>565</v>
      </c>
      <c r="K30" t="s">
        <v>401</v>
      </c>
      <c r="L30" t="s">
        <v>572</v>
      </c>
    </row>
    <row r="31" spans="1:12" ht="60" x14ac:dyDescent="0.25">
      <c r="A31" t="s">
        <v>473</v>
      </c>
      <c r="B31" s="33" t="s">
        <v>6</v>
      </c>
      <c r="C31" s="2" t="s">
        <v>100</v>
      </c>
      <c r="D31" s="5" t="s">
        <v>422</v>
      </c>
      <c r="E31" s="5" t="s">
        <v>496</v>
      </c>
      <c r="F31" s="5" t="s">
        <v>89</v>
      </c>
      <c r="G31" s="3" t="s">
        <v>72</v>
      </c>
      <c r="H31" s="39" t="s">
        <v>360</v>
      </c>
      <c r="I31" s="5" t="s">
        <v>543</v>
      </c>
      <c r="J31" s="5" t="s">
        <v>566</v>
      </c>
      <c r="K31" t="s">
        <v>401</v>
      </c>
      <c r="L31" t="s">
        <v>572</v>
      </c>
    </row>
    <row r="32" spans="1:12" ht="45" x14ac:dyDescent="0.25">
      <c r="A32" t="s">
        <v>474</v>
      </c>
      <c r="B32" s="33" t="s">
        <v>6</v>
      </c>
      <c r="C32" s="30" t="s">
        <v>322</v>
      </c>
      <c r="D32" s="5" t="s">
        <v>315</v>
      </c>
      <c r="E32" s="5" t="s">
        <v>134</v>
      </c>
      <c r="F32" s="5" t="s">
        <v>66</v>
      </c>
      <c r="G32" s="2" t="s">
        <v>518</v>
      </c>
      <c r="H32" s="39" t="s">
        <v>356</v>
      </c>
      <c r="I32" s="5" t="s">
        <v>544</v>
      </c>
      <c r="J32" s="5" t="s">
        <v>567</v>
      </c>
      <c r="K32" t="s">
        <v>351</v>
      </c>
      <c r="L32" t="s">
        <v>572</v>
      </c>
    </row>
    <row r="33" spans="1:12" ht="45" x14ac:dyDescent="0.25">
      <c r="A33" t="s">
        <v>475</v>
      </c>
      <c r="B33" s="33" t="s">
        <v>6</v>
      </c>
      <c r="C33" s="2" t="s">
        <v>100</v>
      </c>
      <c r="D33" s="5" t="s">
        <v>165</v>
      </c>
      <c r="E33" s="5" t="s">
        <v>546</v>
      </c>
      <c r="F33" s="5"/>
      <c r="G33" s="3" t="s">
        <v>72</v>
      </c>
      <c r="H33" s="39" t="s">
        <v>360</v>
      </c>
      <c r="I33" s="5" t="s">
        <v>548</v>
      </c>
      <c r="J33" s="5" t="s">
        <v>570</v>
      </c>
      <c r="K33" t="s">
        <v>401</v>
      </c>
      <c r="L33" t="s">
        <v>572</v>
      </c>
    </row>
    <row r="34" spans="1:12" ht="195" x14ac:dyDescent="0.25">
      <c r="A34" t="s">
        <v>466</v>
      </c>
      <c r="B34" s="33" t="s">
        <v>6</v>
      </c>
      <c r="C34" s="2" t="s">
        <v>94</v>
      </c>
      <c r="D34" s="5" t="s">
        <v>513</v>
      </c>
      <c r="E34" s="5" t="s">
        <v>135</v>
      </c>
      <c r="F34" s="5" t="s">
        <v>35</v>
      </c>
      <c r="G34" s="2" t="s">
        <v>92</v>
      </c>
      <c r="H34" s="39" t="s">
        <v>356</v>
      </c>
      <c r="I34" s="5" t="s">
        <v>556</v>
      </c>
      <c r="J34" s="5" t="s">
        <v>571</v>
      </c>
      <c r="K34" t="s">
        <v>351</v>
      </c>
      <c r="L34" t="s">
        <v>572</v>
      </c>
    </row>
    <row r="35" spans="1:12" ht="150" x14ac:dyDescent="0.25">
      <c r="A35" t="s">
        <v>467</v>
      </c>
      <c r="B35" s="33" t="s">
        <v>6</v>
      </c>
      <c r="C35" s="2" t="s">
        <v>329</v>
      </c>
      <c r="D35" s="5" t="s">
        <v>423</v>
      </c>
      <c r="E35" s="5" t="s">
        <v>387</v>
      </c>
      <c r="F35" s="5" t="s">
        <v>388</v>
      </c>
      <c r="G35" s="2" t="s">
        <v>151</v>
      </c>
      <c r="H35" s="46" t="s">
        <v>386</v>
      </c>
      <c r="I35" s="5" t="s">
        <v>553</v>
      </c>
      <c r="J35" s="5" t="s">
        <v>593</v>
      </c>
      <c r="K35" t="s">
        <v>351</v>
      </c>
      <c r="L35" t="s">
        <v>572</v>
      </c>
    </row>
    <row r="36" spans="1:12" ht="45" x14ac:dyDescent="0.25">
      <c r="A36" t="s">
        <v>476</v>
      </c>
      <c r="B36" s="33" t="s">
        <v>6</v>
      </c>
      <c r="C36" s="2" t="s">
        <v>329</v>
      </c>
      <c r="D36" s="5" t="s">
        <v>424</v>
      </c>
      <c r="E36" s="5" t="s">
        <v>389</v>
      </c>
      <c r="F36" s="5" t="s">
        <v>388</v>
      </c>
      <c r="G36" s="2" t="s">
        <v>151</v>
      </c>
      <c r="H36" s="46" t="s">
        <v>386</v>
      </c>
      <c r="I36" s="5" t="s">
        <v>553</v>
      </c>
      <c r="J36" s="5" t="s">
        <v>568</v>
      </c>
      <c r="K36" t="s">
        <v>351</v>
      </c>
      <c r="L36" t="s">
        <v>572</v>
      </c>
    </row>
    <row r="37" spans="1:12" ht="30" x14ac:dyDescent="0.25">
      <c r="A37" t="s">
        <v>468</v>
      </c>
      <c r="B37" s="34" t="s">
        <v>7</v>
      </c>
      <c r="C37" s="2" t="s">
        <v>331</v>
      </c>
      <c r="D37" s="5" t="s">
        <v>425</v>
      </c>
      <c r="E37" s="5" t="s">
        <v>352</v>
      </c>
      <c r="F37" s="5" t="s">
        <v>68</v>
      </c>
      <c r="G37" s="4" t="s">
        <v>72</v>
      </c>
      <c r="H37" s="39" t="s">
        <v>357</v>
      </c>
      <c r="I37" s="5" t="s">
        <v>550</v>
      </c>
      <c r="J37" s="8" t="s">
        <v>514</v>
      </c>
      <c r="K37" t="s">
        <v>351</v>
      </c>
      <c r="L37" t="s">
        <v>574</v>
      </c>
    </row>
    <row r="38" spans="1:12" ht="45" x14ac:dyDescent="0.25">
      <c r="A38" t="s">
        <v>469</v>
      </c>
      <c r="B38" s="34" t="s">
        <v>7</v>
      </c>
      <c r="C38" s="2" t="s">
        <v>292</v>
      </c>
      <c r="D38" s="5" t="s">
        <v>340</v>
      </c>
      <c r="E38" s="5" t="s">
        <v>390</v>
      </c>
      <c r="F38" s="5" t="s">
        <v>35</v>
      </c>
      <c r="G38" s="36" t="s">
        <v>15</v>
      </c>
      <c r="H38" s="46" t="s">
        <v>392</v>
      </c>
      <c r="I38" s="5" t="s">
        <v>597</v>
      </c>
      <c r="J38" s="8" t="s">
        <v>514</v>
      </c>
      <c r="K38" t="s">
        <v>351</v>
      </c>
      <c r="L38" t="s">
        <v>573</v>
      </c>
    </row>
    <row r="39" spans="1:12" ht="45" x14ac:dyDescent="0.25">
      <c r="A39" t="s">
        <v>477</v>
      </c>
      <c r="B39" s="34" t="s">
        <v>7</v>
      </c>
      <c r="C39" s="2" t="s">
        <v>292</v>
      </c>
      <c r="D39" s="5" t="s">
        <v>342</v>
      </c>
      <c r="E39" s="5" t="s">
        <v>166</v>
      </c>
      <c r="F39" s="5"/>
      <c r="G39" s="2" t="s">
        <v>508</v>
      </c>
      <c r="H39" s="43" t="s">
        <v>354</v>
      </c>
      <c r="I39" s="5" t="s">
        <v>551</v>
      </c>
      <c r="J39" s="8" t="s">
        <v>514</v>
      </c>
      <c r="K39" t="s">
        <v>351</v>
      </c>
      <c r="L39" t="s">
        <v>573</v>
      </c>
    </row>
    <row r="40" spans="1:12" ht="75" x14ac:dyDescent="0.25">
      <c r="A40" t="s">
        <v>470</v>
      </c>
      <c r="B40" s="34" t="s">
        <v>7</v>
      </c>
      <c r="C40" s="2" t="s">
        <v>292</v>
      </c>
      <c r="D40" s="5" t="s">
        <v>426</v>
      </c>
      <c r="E40" s="5" t="s">
        <v>137</v>
      </c>
      <c r="F40" s="5" t="s">
        <v>64</v>
      </c>
      <c r="G40" s="2" t="s">
        <v>507</v>
      </c>
      <c r="H40" s="39" t="s">
        <v>242</v>
      </c>
      <c r="I40" s="5" t="s">
        <v>552</v>
      </c>
      <c r="J40" s="5" t="s">
        <v>591</v>
      </c>
      <c r="K40" t="s">
        <v>351</v>
      </c>
      <c r="L40" t="s">
        <v>573</v>
      </c>
    </row>
    <row r="41" spans="1:12" ht="30" x14ac:dyDescent="0.25">
      <c r="A41" t="s">
        <v>478</v>
      </c>
      <c r="B41" s="34" t="s">
        <v>7</v>
      </c>
      <c r="C41" s="2" t="s">
        <v>292</v>
      </c>
      <c r="D41" s="4" t="s">
        <v>336</v>
      </c>
      <c r="E41" s="24" t="s">
        <v>515</v>
      </c>
      <c r="F41" s="4"/>
      <c r="G41" s="4" t="s">
        <v>73</v>
      </c>
      <c r="H41" s="43" t="s">
        <v>354</v>
      </c>
      <c r="I41" s="5" t="s">
        <v>549</v>
      </c>
      <c r="J41" s="8" t="s">
        <v>514</v>
      </c>
      <c r="K41" t="s">
        <v>351</v>
      </c>
      <c r="L41" t="s">
        <v>573</v>
      </c>
    </row>
  </sheetData>
  <autoFilter ref="A1:H41" xr:uid="{AF0461F5-5522-4400-ADC3-010F7ED92A51}"/>
  <conditionalFormatting sqref="K2:K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heetViews>
  <sheetFormatPr defaultRowHeight="15" x14ac:dyDescent="0.25"/>
  <sheetData>
    <row r="1" spans="1:3" x14ac:dyDescent="0.25">
      <c r="A1" s="25" t="s">
        <v>480</v>
      </c>
      <c r="B1" s="25" t="s">
        <v>499</v>
      </c>
      <c r="C1" s="25" t="s">
        <v>500</v>
      </c>
    </row>
    <row r="2" spans="1:3" x14ac:dyDescent="0.25">
      <c r="A2" s="31" t="s">
        <v>441</v>
      </c>
      <c r="B2" s="31" t="s">
        <v>0</v>
      </c>
      <c r="C2" s="31">
        <v>1</v>
      </c>
    </row>
    <row r="3" spans="1:3" x14ac:dyDescent="0.25">
      <c r="A3" s="31" t="s">
        <v>443</v>
      </c>
      <c r="B3" s="31" t="s">
        <v>0</v>
      </c>
      <c r="C3" s="31">
        <v>1</v>
      </c>
    </row>
    <row r="4" spans="1:3" x14ac:dyDescent="0.25">
      <c r="A4" s="31" t="s">
        <v>442</v>
      </c>
      <c r="B4" s="31" t="s">
        <v>0</v>
      </c>
      <c r="C4" s="31">
        <v>1</v>
      </c>
    </row>
    <row r="5" spans="1:3" x14ac:dyDescent="0.25">
      <c r="A5" s="31" t="s">
        <v>444</v>
      </c>
      <c r="B5" s="31" t="s">
        <v>0</v>
      </c>
      <c r="C5" s="31">
        <v>2</v>
      </c>
    </row>
    <row r="6" spans="1:3" x14ac:dyDescent="0.25">
      <c r="A6" s="31" t="s">
        <v>445</v>
      </c>
      <c r="B6" s="31" t="s">
        <v>0</v>
      </c>
      <c r="C6" s="31">
        <v>3</v>
      </c>
    </row>
    <row r="7" spans="1:3" x14ac:dyDescent="0.25">
      <c r="A7" s="31" t="s">
        <v>446</v>
      </c>
      <c r="B7" s="31" t="s">
        <v>0</v>
      </c>
      <c r="C7" s="31">
        <v>3</v>
      </c>
    </row>
    <row r="8" spans="1:3" x14ac:dyDescent="0.25">
      <c r="A8" s="31" t="s">
        <v>449</v>
      </c>
      <c r="B8" s="31" t="s">
        <v>0</v>
      </c>
      <c r="C8" s="31">
        <v>3</v>
      </c>
    </row>
    <row r="9" spans="1:3" x14ac:dyDescent="0.25">
      <c r="A9" s="31" t="s">
        <v>490</v>
      </c>
      <c r="B9" s="31" t="s">
        <v>0</v>
      </c>
      <c r="C9" s="31">
        <v>3</v>
      </c>
    </row>
    <row r="10" spans="1:3" x14ac:dyDescent="0.25">
      <c r="A10" s="31" t="s">
        <v>491</v>
      </c>
      <c r="B10" s="31" t="s">
        <v>0</v>
      </c>
      <c r="C10" s="31">
        <v>3</v>
      </c>
    </row>
    <row r="11" spans="1:3" x14ac:dyDescent="0.25">
      <c r="A11" s="31" t="s">
        <v>447</v>
      </c>
      <c r="B11" s="31" t="s">
        <v>0</v>
      </c>
      <c r="C11" s="31">
        <v>4</v>
      </c>
    </row>
    <row r="12" spans="1:3" x14ac:dyDescent="0.25">
      <c r="A12" s="31" t="s">
        <v>448</v>
      </c>
      <c r="B12" s="31" t="s">
        <v>0</v>
      </c>
      <c r="C12" s="31">
        <v>5</v>
      </c>
    </row>
    <row r="13" spans="1:3" x14ac:dyDescent="0.25">
      <c r="A13" s="32" t="s">
        <v>450</v>
      </c>
      <c r="B13" s="32" t="s">
        <v>4</v>
      </c>
      <c r="C13" s="32">
        <v>6</v>
      </c>
    </row>
    <row r="14" spans="1:3" x14ac:dyDescent="0.25">
      <c r="A14" s="32" t="s">
        <v>451</v>
      </c>
      <c r="B14" s="32" t="s">
        <v>4</v>
      </c>
      <c r="C14" s="32">
        <v>6</v>
      </c>
    </row>
    <row r="15" spans="1:3" x14ac:dyDescent="0.25">
      <c r="A15" s="32" t="s">
        <v>452</v>
      </c>
      <c r="B15" s="32" t="s">
        <v>4</v>
      </c>
      <c r="C15" s="32">
        <v>6</v>
      </c>
    </row>
    <row r="16" spans="1:3" x14ac:dyDescent="0.25">
      <c r="A16" s="32" t="s">
        <v>453</v>
      </c>
      <c r="B16" s="32" t="s">
        <v>4</v>
      </c>
      <c r="C16" s="32">
        <v>6</v>
      </c>
    </row>
    <row r="17" spans="1:3" x14ac:dyDescent="0.25">
      <c r="A17" s="32" t="s">
        <v>454</v>
      </c>
      <c r="B17" s="32" t="s">
        <v>4</v>
      </c>
      <c r="C17" s="32">
        <v>7</v>
      </c>
    </row>
    <row r="18" spans="1:3" x14ac:dyDescent="0.25">
      <c r="A18" s="32" t="s">
        <v>455</v>
      </c>
      <c r="B18" s="32" t="s">
        <v>4</v>
      </c>
      <c r="C18" s="32">
        <v>8</v>
      </c>
    </row>
    <row r="19" spans="1:3" x14ac:dyDescent="0.25">
      <c r="A19" s="32" t="s">
        <v>456</v>
      </c>
      <c r="B19" s="32" t="s">
        <v>4</v>
      </c>
      <c r="C19" s="32">
        <v>8</v>
      </c>
    </row>
    <row r="20" spans="1:3" x14ac:dyDescent="0.25">
      <c r="A20" s="32" t="s">
        <v>457</v>
      </c>
      <c r="B20" s="32" t="s">
        <v>4</v>
      </c>
      <c r="C20" s="32">
        <v>9</v>
      </c>
    </row>
    <row r="21" spans="1:3" x14ac:dyDescent="0.25">
      <c r="A21" s="66" t="s">
        <v>458</v>
      </c>
      <c r="B21" s="66" t="s">
        <v>5</v>
      </c>
      <c r="C21" s="66">
        <v>10</v>
      </c>
    </row>
    <row r="22" spans="1:3" x14ac:dyDescent="0.25">
      <c r="A22" s="66" t="s">
        <v>459</v>
      </c>
      <c r="B22" s="66" t="s">
        <v>5</v>
      </c>
      <c r="C22" s="66">
        <v>10</v>
      </c>
    </row>
    <row r="23" spans="1:3" x14ac:dyDescent="0.25">
      <c r="A23" s="66" t="s">
        <v>460</v>
      </c>
      <c r="B23" s="66" t="s">
        <v>5</v>
      </c>
      <c r="C23" s="66">
        <v>10</v>
      </c>
    </row>
    <row r="24" spans="1:3" x14ac:dyDescent="0.25">
      <c r="A24" s="66" t="s">
        <v>461</v>
      </c>
      <c r="B24" s="66" t="s">
        <v>5</v>
      </c>
      <c r="C24" s="66">
        <v>11</v>
      </c>
    </row>
    <row r="25" spans="1:3" x14ac:dyDescent="0.25">
      <c r="A25" s="66" t="s">
        <v>462</v>
      </c>
      <c r="B25" s="66" t="s">
        <v>5</v>
      </c>
      <c r="C25" s="66">
        <v>11</v>
      </c>
    </row>
    <row r="26" spans="1:3" x14ac:dyDescent="0.25">
      <c r="A26" s="66" t="s">
        <v>463</v>
      </c>
      <c r="B26" s="66" t="s">
        <v>5</v>
      </c>
      <c r="C26" s="66">
        <v>12</v>
      </c>
    </row>
    <row r="27" spans="1:3" x14ac:dyDescent="0.25">
      <c r="A27" s="33" t="s">
        <v>464</v>
      </c>
      <c r="B27" s="33" t="s">
        <v>6</v>
      </c>
      <c r="C27" s="33">
        <v>13</v>
      </c>
    </row>
    <row r="28" spans="1:3" x14ac:dyDescent="0.25">
      <c r="A28" s="33" t="s">
        <v>471</v>
      </c>
      <c r="B28" s="33" t="s">
        <v>6</v>
      </c>
      <c r="C28" s="33">
        <v>13</v>
      </c>
    </row>
    <row r="29" spans="1:3" x14ac:dyDescent="0.25">
      <c r="A29" s="33" t="s">
        <v>465</v>
      </c>
      <c r="B29" s="33" t="s">
        <v>6</v>
      </c>
      <c r="C29" s="33">
        <v>14</v>
      </c>
    </row>
    <row r="30" spans="1:3" x14ac:dyDescent="0.25">
      <c r="A30" s="33" t="s">
        <v>472</v>
      </c>
      <c r="B30" s="33" t="s">
        <v>6</v>
      </c>
      <c r="C30" s="33">
        <v>14</v>
      </c>
    </row>
    <row r="31" spans="1:3" x14ac:dyDescent="0.25">
      <c r="A31" s="33" t="s">
        <v>473</v>
      </c>
      <c r="B31" s="33" t="s">
        <v>6</v>
      </c>
      <c r="C31" s="33">
        <v>14</v>
      </c>
    </row>
    <row r="32" spans="1:3" x14ac:dyDescent="0.25">
      <c r="A32" s="33" t="s">
        <v>474</v>
      </c>
      <c r="B32" s="33" t="s">
        <v>6</v>
      </c>
      <c r="C32" s="33">
        <v>14</v>
      </c>
    </row>
    <row r="33" spans="1:3" x14ac:dyDescent="0.25">
      <c r="A33" s="33" t="s">
        <v>475</v>
      </c>
      <c r="B33" s="33" t="s">
        <v>6</v>
      </c>
      <c r="C33" s="33">
        <v>14</v>
      </c>
    </row>
    <row r="34" spans="1:3" x14ac:dyDescent="0.25">
      <c r="A34" s="33" t="s">
        <v>466</v>
      </c>
      <c r="B34" s="33" t="s">
        <v>6</v>
      </c>
      <c r="C34" s="33">
        <v>15</v>
      </c>
    </row>
    <row r="35" spans="1:3" x14ac:dyDescent="0.25">
      <c r="A35" s="33" t="s">
        <v>467</v>
      </c>
      <c r="B35" s="33" t="s">
        <v>6</v>
      </c>
      <c r="C35" s="33">
        <v>16</v>
      </c>
    </row>
    <row r="36" spans="1:3" x14ac:dyDescent="0.25">
      <c r="A36" s="33" t="s">
        <v>476</v>
      </c>
      <c r="B36" s="33" t="s">
        <v>6</v>
      </c>
      <c r="C36" s="33">
        <v>16</v>
      </c>
    </row>
    <row r="37" spans="1:3" x14ac:dyDescent="0.25">
      <c r="A37" s="34" t="s">
        <v>468</v>
      </c>
      <c r="B37" s="34" t="s">
        <v>7</v>
      </c>
      <c r="C37" s="34">
        <v>18</v>
      </c>
    </row>
    <row r="38" spans="1:3" x14ac:dyDescent="0.25">
      <c r="A38" s="34" t="s">
        <v>469</v>
      </c>
      <c r="B38" s="34" t="s">
        <v>7</v>
      </c>
      <c r="C38" s="34">
        <v>19</v>
      </c>
    </row>
    <row r="39" spans="1:3" x14ac:dyDescent="0.25">
      <c r="A39" s="34" t="s">
        <v>477</v>
      </c>
      <c r="B39" s="34" t="s">
        <v>7</v>
      </c>
      <c r="C39" s="34">
        <v>20</v>
      </c>
    </row>
    <row r="40" spans="1:3" x14ac:dyDescent="0.25">
      <c r="A40" s="34" t="s">
        <v>470</v>
      </c>
      <c r="B40" s="34" t="s">
        <v>7</v>
      </c>
      <c r="C40" s="34">
        <v>20</v>
      </c>
    </row>
    <row r="41" spans="1:3" x14ac:dyDescent="0.25">
      <c r="A41" s="34" t="s">
        <v>478</v>
      </c>
      <c r="B41" s="34" t="s">
        <v>7</v>
      </c>
      <c r="C41" s="34">
        <v>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workbookViewId="0"/>
  </sheetViews>
  <sheetFormatPr defaultRowHeight="15" x14ac:dyDescent="0.25"/>
  <cols>
    <col min="2" max="2" width="36.140625" customWidth="1"/>
    <col min="3" max="3" width="57.5703125" customWidth="1"/>
  </cols>
  <sheetData>
    <row r="1" spans="1:3" x14ac:dyDescent="0.25">
      <c r="A1" s="25" t="s">
        <v>179</v>
      </c>
      <c r="B1" s="25" t="s">
        <v>23</v>
      </c>
      <c r="C1" s="25" t="s">
        <v>353</v>
      </c>
    </row>
    <row r="2" spans="1:3" ht="30" x14ac:dyDescent="0.25">
      <c r="A2" s="31">
        <v>1</v>
      </c>
      <c r="B2" s="2" t="s">
        <v>24</v>
      </c>
      <c r="C2" s="2" t="s">
        <v>25</v>
      </c>
    </row>
    <row r="3" spans="1:3" ht="45" x14ac:dyDescent="0.25">
      <c r="A3" s="31">
        <v>2</v>
      </c>
      <c r="B3" s="2" t="s">
        <v>26</v>
      </c>
      <c r="C3" s="2" t="s">
        <v>27</v>
      </c>
    </row>
    <row r="4" spans="1:3" ht="45" x14ac:dyDescent="0.25">
      <c r="A4" s="31">
        <v>3</v>
      </c>
      <c r="B4" s="2" t="s">
        <v>28</v>
      </c>
      <c r="C4" s="2" t="s">
        <v>29</v>
      </c>
    </row>
    <row r="5" spans="1:3" ht="30" x14ac:dyDescent="0.25">
      <c r="A5" s="31">
        <v>4</v>
      </c>
      <c r="B5" s="2" t="s">
        <v>31</v>
      </c>
      <c r="C5" s="2" t="s">
        <v>32</v>
      </c>
    </row>
    <row r="6" spans="1:3" ht="30" x14ac:dyDescent="0.25">
      <c r="A6" s="31">
        <v>5</v>
      </c>
      <c r="B6" s="2" t="s">
        <v>33</v>
      </c>
      <c r="C6" s="2" t="s">
        <v>34</v>
      </c>
    </row>
    <row r="7" spans="1:3" ht="45" x14ac:dyDescent="0.25">
      <c r="A7" s="32">
        <v>6</v>
      </c>
      <c r="B7" s="4" t="s">
        <v>36</v>
      </c>
      <c r="C7" s="2" t="s">
        <v>37</v>
      </c>
    </row>
    <row r="8" spans="1:3" ht="30" x14ac:dyDescent="0.25">
      <c r="A8" s="32">
        <v>7</v>
      </c>
      <c r="B8" s="2" t="s">
        <v>38</v>
      </c>
      <c r="C8" s="2" t="s">
        <v>39</v>
      </c>
    </row>
    <row r="9" spans="1:3" ht="45" x14ac:dyDescent="0.25">
      <c r="A9" s="32">
        <v>8</v>
      </c>
      <c r="B9" s="2" t="s">
        <v>40</v>
      </c>
      <c r="C9" s="2" t="s">
        <v>438</v>
      </c>
    </row>
    <row r="10" spans="1:3" ht="30" x14ac:dyDescent="0.25">
      <c r="A10" s="32">
        <v>9</v>
      </c>
      <c r="B10" s="2" t="s">
        <v>42</v>
      </c>
      <c r="C10" s="2" t="s">
        <v>43</v>
      </c>
    </row>
    <row r="11" spans="1:3" ht="30" x14ac:dyDescent="0.25">
      <c r="A11" s="57">
        <v>10</v>
      </c>
      <c r="B11" s="2" t="s">
        <v>44</v>
      </c>
      <c r="C11" s="2" t="s">
        <v>45</v>
      </c>
    </row>
    <row r="12" spans="1:3" ht="45" x14ac:dyDescent="0.25">
      <c r="A12" s="57">
        <v>11</v>
      </c>
      <c r="B12" s="2" t="s">
        <v>46</v>
      </c>
      <c r="C12" s="2" t="s">
        <v>47</v>
      </c>
    </row>
    <row r="13" spans="1:3" ht="30" x14ac:dyDescent="0.25">
      <c r="A13" s="57">
        <v>12</v>
      </c>
      <c r="B13" s="2" t="s">
        <v>48</v>
      </c>
      <c r="C13" s="2" t="s">
        <v>43</v>
      </c>
    </row>
    <row r="14" spans="1:3" ht="30" x14ac:dyDescent="0.25">
      <c r="A14" s="33">
        <v>13</v>
      </c>
      <c r="B14" s="2" t="s">
        <v>49</v>
      </c>
      <c r="C14" s="2" t="s">
        <v>50</v>
      </c>
    </row>
    <row r="15" spans="1:3" ht="30" x14ac:dyDescent="0.25">
      <c r="A15" s="33">
        <v>14</v>
      </c>
      <c r="B15" s="2" t="s">
        <v>51</v>
      </c>
      <c r="C15" s="2" t="s">
        <v>52</v>
      </c>
    </row>
    <row r="16" spans="1:3" ht="30" x14ac:dyDescent="0.25">
      <c r="A16" s="33">
        <v>15</v>
      </c>
      <c r="B16" s="2" t="s">
        <v>53</v>
      </c>
      <c r="C16" s="2" t="s">
        <v>54</v>
      </c>
    </row>
    <row r="17" spans="1:3" ht="45" x14ac:dyDescent="0.25">
      <c r="A17" s="33">
        <v>16</v>
      </c>
      <c r="B17" s="2" t="s">
        <v>55</v>
      </c>
      <c r="C17" s="2" t="s">
        <v>56</v>
      </c>
    </row>
    <row r="18" spans="1:3" ht="45" x14ac:dyDescent="0.25">
      <c r="A18" s="34">
        <v>18</v>
      </c>
      <c r="B18" s="2" t="s">
        <v>59</v>
      </c>
      <c r="C18" s="2" t="s">
        <v>60</v>
      </c>
    </row>
    <row r="19" spans="1:3" ht="30" x14ac:dyDescent="0.25">
      <c r="A19" s="34">
        <v>19</v>
      </c>
      <c r="B19" s="2" t="s">
        <v>346</v>
      </c>
      <c r="C19" s="2" t="s">
        <v>347</v>
      </c>
    </row>
    <row r="20" spans="1:3" ht="30" x14ac:dyDescent="0.25">
      <c r="A20" s="34">
        <v>20</v>
      </c>
      <c r="B20" s="2" t="s">
        <v>61</v>
      </c>
      <c r="C20" s="2" t="s">
        <v>62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19"/>
  <sheetViews>
    <sheetView workbookViewId="0">
      <selection activeCell="O32" sqref="O32"/>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25" t="s">
        <v>480</v>
      </c>
      <c r="B1" t="s">
        <v>479</v>
      </c>
      <c r="C1" t="s">
        <v>481</v>
      </c>
      <c r="D1" t="s">
        <v>494</v>
      </c>
      <c r="E1" t="s">
        <v>495</v>
      </c>
      <c r="F1" t="s">
        <v>486</v>
      </c>
    </row>
    <row r="2" spans="1:6" x14ac:dyDescent="0.25">
      <c r="A2" s="31" t="s">
        <v>441</v>
      </c>
      <c r="B2" s="63">
        <v>40724</v>
      </c>
      <c r="C2" s="2">
        <v>5.04</v>
      </c>
      <c r="F2" s="2" t="s">
        <v>516</v>
      </c>
    </row>
    <row r="3" spans="1:6" x14ac:dyDescent="0.25">
      <c r="A3" s="31" t="s">
        <v>441</v>
      </c>
      <c r="B3" s="63">
        <v>41090</v>
      </c>
      <c r="C3" s="2">
        <v>4.8</v>
      </c>
      <c r="F3" s="2" t="s">
        <v>516</v>
      </c>
    </row>
    <row r="4" spans="1:6" x14ac:dyDescent="0.25">
      <c r="A4" s="31" t="s">
        <v>441</v>
      </c>
      <c r="B4" s="63">
        <v>41455</v>
      </c>
      <c r="C4" s="2">
        <v>4.72</v>
      </c>
      <c r="F4" s="2" t="s">
        <v>516</v>
      </c>
    </row>
    <row r="5" spans="1:6" x14ac:dyDescent="0.25">
      <c r="A5" s="31" t="s">
        <v>441</v>
      </c>
      <c r="B5" s="63">
        <v>41820</v>
      </c>
      <c r="C5" s="2">
        <v>4.79</v>
      </c>
      <c r="F5" s="2" t="s">
        <v>516</v>
      </c>
    </row>
    <row r="6" spans="1:6" x14ac:dyDescent="0.25">
      <c r="A6" s="31" t="s">
        <v>441</v>
      </c>
      <c r="B6" s="63">
        <v>42185</v>
      </c>
      <c r="C6" s="2">
        <v>4.84</v>
      </c>
      <c r="F6" s="2" t="s">
        <v>516</v>
      </c>
    </row>
    <row r="7" spans="1:6" x14ac:dyDescent="0.25">
      <c r="A7" s="31" t="s">
        <v>441</v>
      </c>
      <c r="B7" s="63">
        <v>42551</v>
      </c>
      <c r="C7" s="2">
        <v>4.95</v>
      </c>
      <c r="D7" s="2"/>
      <c r="E7" s="2"/>
      <c r="F7" s="2" t="s">
        <v>487</v>
      </c>
    </row>
    <row r="8" spans="1:6" x14ac:dyDescent="0.25">
      <c r="A8" s="31" t="s">
        <v>441</v>
      </c>
      <c r="B8" s="63">
        <v>51317</v>
      </c>
      <c r="C8" s="2">
        <v>4.1100000000000003</v>
      </c>
      <c r="D8" s="2"/>
      <c r="E8" s="2"/>
      <c r="F8" s="2" t="s">
        <v>489</v>
      </c>
    </row>
    <row r="9" spans="1:6" x14ac:dyDescent="0.25">
      <c r="A9" s="31" t="s">
        <v>443</v>
      </c>
      <c r="B9" s="64">
        <v>43281</v>
      </c>
      <c r="C9" s="40">
        <v>68.400000000000006</v>
      </c>
      <c r="D9" s="40">
        <v>65.538751133575303</v>
      </c>
      <c r="E9" s="40">
        <v>71.158794562405902</v>
      </c>
      <c r="F9" s="18" t="s">
        <v>487</v>
      </c>
    </row>
    <row r="10" spans="1:6" x14ac:dyDescent="0.25">
      <c r="A10" s="31" t="s">
        <v>443</v>
      </c>
      <c r="B10" s="64">
        <v>43646</v>
      </c>
      <c r="C10" s="40">
        <v>67.2</v>
      </c>
      <c r="D10" s="40">
        <v>64.083971006635693</v>
      </c>
      <c r="E10" s="40">
        <v>70.112622314085897</v>
      </c>
      <c r="F10" s="18" t="s">
        <v>488</v>
      </c>
    </row>
    <row r="11" spans="1:6" x14ac:dyDescent="0.25">
      <c r="A11" s="31" t="s">
        <v>443</v>
      </c>
      <c r="B11" s="63">
        <v>51317</v>
      </c>
      <c r="C11" s="40">
        <v>80</v>
      </c>
      <c r="D11" s="67"/>
      <c r="E11" s="67"/>
      <c r="F11" s="2" t="s">
        <v>489</v>
      </c>
    </row>
    <row r="12" spans="1:6" x14ac:dyDescent="0.25">
      <c r="A12" s="31" t="s">
        <v>442</v>
      </c>
      <c r="B12" s="64">
        <v>43281</v>
      </c>
      <c r="C12" s="68">
        <v>63</v>
      </c>
      <c r="D12" s="40">
        <v>60.304286081761603</v>
      </c>
      <c r="E12" s="40">
        <v>66.167510713120095</v>
      </c>
      <c r="F12" s="18" t="s">
        <v>487</v>
      </c>
    </row>
    <row r="13" spans="1:6" x14ac:dyDescent="0.25">
      <c r="A13" s="31" t="s">
        <v>442</v>
      </c>
      <c r="B13" s="64">
        <v>43646</v>
      </c>
      <c r="C13" s="68">
        <v>60.699999999999996</v>
      </c>
      <c r="D13" s="40">
        <v>57.5564462873403</v>
      </c>
      <c r="E13" s="40">
        <v>63.814694958317894</v>
      </c>
      <c r="F13" s="18" t="s">
        <v>488</v>
      </c>
    </row>
    <row r="14" spans="1:6" x14ac:dyDescent="0.25">
      <c r="A14" s="31" t="s">
        <v>442</v>
      </c>
      <c r="B14" s="63">
        <v>51317</v>
      </c>
      <c r="C14" s="68">
        <v>90</v>
      </c>
      <c r="D14" s="68"/>
      <c r="E14" s="68"/>
      <c r="F14" s="2" t="s">
        <v>489</v>
      </c>
    </row>
    <row r="15" spans="1:6" x14ac:dyDescent="0.25">
      <c r="A15" s="31" t="s">
        <v>444</v>
      </c>
      <c r="B15" s="64">
        <v>43646</v>
      </c>
      <c r="C15" s="68">
        <v>60.699999999999996</v>
      </c>
      <c r="F15" s="18" t="s">
        <v>487</v>
      </c>
    </row>
    <row r="16" spans="1:6" x14ac:dyDescent="0.25">
      <c r="A16" s="31" t="s">
        <v>444</v>
      </c>
      <c r="B16" s="63">
        <v>51317</v>
      </c>
      <c r="C16" s="68">
        <v>90</v>
      </c>
      <c r="F16" s="2" t="s">
        <v>489</v>
      </c>
    </row>
    <row r="17" spans="1:6" x14ac:dyDescent="0.25">
      <c r="A17" s="31" t="s">
        <v>445</v>
      </c>
      <c r="B17" s="64">
        <v>43281</v>
      </c>
      <c r="C17" s="68">
        <v>48.5</v>
      </c>
      <c r="D17" s="68">
        <v>45.395837796280397</v>
      </c>
      <c r="E17" s="68">
        <v>51.597672572044409</v>
      </c>
      <c r="F17" s="18" t="s">
        <v>487</v>
      </c>
    </row>
    <row r="18" spans="1:6" x14ac:dyDescent="0.25">
      <c r="A18" s="31" t="s">
        <v>445</v>
      </c>
      <c r="B18" s="64">
        <v>43646</v>
      </c>
      <c r="C18" s="68">
        <v>45.6</v>
      </c>
      <c r="D18" s="68">
        <v>42.354182641082602</v>
      </c>
      <c r="E18" s="68">
        <v>48.833706034554297</v>
      </c>
      <c r="F18" s="18" t="s">
        <v>488</v>
      </c>
    </row>
    <row r="19" spans="1:6" x14ac:dyDescent="0.25">
      <c r="A19" s="31" t="s">
        <v>445</v>
      </c>
      <c r="B19" s="63">
        <v>51317</v>
      </c>
      <c r="C19" s="68">
        <v>80</v>
      </c>
      <c r="D19" s="68"/>
      <c r="E19" s="68"/>
      <c r="F19" s="2" t="s">
        <v>489</v>
      </c>
    </row>
    <row r="20" spans="1:6" x14ac:dyDescent="0.25">
      <c r="A20" s="31" t="s">
        <v>446</v>
      </c>
      <c r="B20" s="65">
        <v>42916</v>
      </c>
      <c r="C20" s="68">
        <v>57.699999999999996</v>
      </c>
      <c r="D20" s="68"/>
      <c r="E20" s="68"/>
      <c r="F20" s="18" t="s">
        <v>487</v>
      </c>
    </row>
    <row r="21" spans="1:6" x14ac:dyDescent="0.25">
      <c r="A21" s="31" t="s">
        <v>446</v>
      </c>
      <c r="B21" s="63">
        <v>51317</v>
      </c>
      <c r="C21" s="68">
        <v>60</v>
      </c>
      <c r="D21" s="68"/>
      <c r="E21" s="68"/>
      <c r="F21" s="2" t="s">
        <v>489</v>
      </c>
    </row>
    <row r="22" spans="1:6" x14ac:dyDescent="0.25">
      <c r="A22" s="31" t="s">
        <v>449</v>
      </c>
      <c r="B22" s="65">
        <v>41090</v>
      </c>
      <c r="C22" s="68">
        <v>10.1</v>
      </c>
      <c r="D22" s="68">
        <v>6.9</v>
      </c>
      <c r="E22" s="68">
        <v>14.5</v>
      </c>
      <c r="F22" s="18" t="s">
        <v>516</v>
      </c>
    </row>
    <row r="23" spans="1:6" x14ac:dyDescent="0.25">
      <c r="A23" s="31" t="s">
        <v>449</v>
      </c>
      <c r="B23" s="65">
        <v>41820</v>
      </c>
      <c r="C23" s="68">
        <v>14.3</v>
      </c>
      <c r="D23" s="68">
        <v>9.4</v>
      </c>
      <c r="E23" s="68">
        <v>21.1</v>
      </c>
      <c r="F23" s="18" t="s">
        <v>516</v>
      </c>
    </row>
    <row r="24" spans="1:6" x14ac:dyDescent="0.25">
      <c r="A24" s="31" t="s">
        <v>449</v>
      </c>
      <c r="B24" s="65">
        <v>42916</v>
      </c>
      <c r="C24" s="68">
        <v>12.5</v>
      </c>
      <c r="D24" s="68">
        <v>9</v>
      </c>
      <c r="E24" s="68">
        <v>17</v>
      </c>
      <c r="F24" s="18" t="s">
        <v>487</v>
      </c>
    </row>
    <row r="25" spans="1:6" x14ac:dyDescent="0.25">
      <c r="A25" s="31" t="s">
        <v>449</v>
      </c>
      <c r="B25" s="63">
        <v>51317</v>
      </c>
      <c r="C25" s="68">
        <v>8.9</v>
      </c>
      <c r="D25" s="68"/>
      <c r="E25" s="68"/>
      <c r="F25" s="2" t="s">
        <v>489</v>
      </c>
    </row>
    <row r="26" spans="1:6" x14ac:dyDescent="0.25">
      <c r="A26" s="31" t="s">
        <v>490</v>
      </c>
      <c r="B26" s="64">
        <v>43281</v>
      </c>
      <c r="C26" s="68">
        <v>62.8</v>
      </c>
      <c r="D26" s="40">
        <v>59.877990759808299</v>
      </c>
      <c r="E26" s="40">
        <v>65.605150908988506</v>
      </c>
      <c r="F26" s="18" t="s">
        <v>487</v>
      </c>
    </row>
    <row r="27" spans="1:6" x14ac:dyDescent="0.25">
      <c r="A27" s="31" t="s">
        <v>490</v>
      </c>
      <c r="B27" s="64">
        <v>43646</v>
      </c>
      <c r="C27" s="68">
        <v>67</v>
      </c>
      <c r="D27" s="40">
        <v>64.039769861282096</v>
      </c>
      <c r="E27" s="40">
        <v>69.906919042560105</v>
      </c>
      <c r="F27" s="18" t="s">
        <v>488</v>
      </c>
    </row>
    <row r="28" spans="1:6" x14ac:dyDescent="0.25">
      <c r="A28" s="31" t="s">
        <v>490</v>
      </c>
      <c r="B28" s="63">
        <v>51317</v>
      </c>
      <c r="C28" s="68">
        <v>80</v>
      </c>
      <c r="D28" s="59"/>
      <c r="E28" s="59"/>
      <c r="F28" s="2" t="s">
        <v>489</v>
      </c>
    </row>
    <row r="29" spans="1:6" x14ac:dyDescent="0.25">
      <c r="A29" s="31" t="s">
        <v>491</v>
      </c>
      <c r="B29" s="64">
        <v>41090</v>
      </c>
      <c r="C29" s="68">
        <v>83.8</v>
      </c>
      <c r="D29" s="59"/>
      <c r="E29" s="59"/>
      <c r="F29" s="2" t="s">
        <v>516</v>
      </c>
    </row>
    <row r="30" spans="1:6" x14ac:dyDescent="0.25">
      <c r="A30" s="31" t="s">
        <v>491</v>
      </c>
      <c r="B30" s="64">
        <v>42185</v>
      </c>
      <c r="C30" s="68">
        <v>84.1</v>
      </c>
      <c r="D30" s="59"/>
      <c r="E30" s="59"/>
      <c r="F30" s="2" t="s">
        <v>516</v>
      </c>
    </row>
    <row r="31" spans="1:6" x14ac:dyDescent="0.25">
      <c r="A31" s="31" t="s">
        <v>491</v>
      </c>
      <c r="B31" s="64">
        <v>43281</v>
      </c>
      <c r="C31" s="68">
        <v>85.1</v>
      </c>
      <c r="D31" s="60"/>
      <c r="E31" s="60"/>
      <c r="F31" s="18" t="s">
        <v>487</v>
      </c>
    </row>
    <row r="32" spans="1:6" x14ac:dyDescent="0.25">
      <c r="A32" s="31" t="s">
        <v>491</v>
      </c>
      <c r="B32" s="63">
        <v>51317</v>
      </c>
      <c r="C32" s="62">
        <v>89.9</v>
      </c>
      <c r="D32" s="60"/>
      <c r="E32" s="60"/>
      <c r="F32" s="18" t="s">
        <v>489</v>
      </c>
    </row>
    <row r="33" spans="1:6" x14ac:dyDescent="0.25">
      <c r="A33" s="31" t="s">
        <v>447</v>
      </c>
      <c r="B33" s="64">
        <v>43281</v>
      </c>
      <c r="C33" s="62">
        <v>52</v>
      </c>
      <c r="D33" s="62">
        <v>50.302758398000002</v>
      </c>
      <c r="E33" s="62">
        <v>53.871574222</v>
      </c>
      <c r="F33" s="18" t="s">
        <v>487</v>
      </c>
    </row>
    <row r="34" spans="1:6" x14ac:dyDescent="0.25">
      <c r="A34" s="31" t="s">
        <v>447</v>
      </c>
      <c r="B34" s="64">
        <v>43646</v>
      </c>
      <c r="C34" s="62">
        <v>49</v>
      </c>
      <c r="D34" s="62">
        <v>46.735637591080902</v>
      </c>
      <c r="E34" s="62">
        <v>50.539152862397202</v>
      </c>
      <c r="F34" s="18" t="s">
        <v>488</v>
      </c>
    </row>
    <row r="35" spans="1:6" x14ac:dyDescent="0.25">
      <c r="A35" s="31" t="s">
        <v>447</v>
      </c>
      <c r="B35" s="63">
        <v>51317</v>
      </c>
      <c r="C35" s="62">
        <v>63</v>
      </c>
      <c r="D35" s="62"/>
      <c r="E35" s="62"/>
      <c r="F35" s="2" t="s">
        <v>489</v>
      </c>
    </row>
    <row r="36" spans="1:6" x14ac:dyDescent="0.25">
      <c r="A36" s="31" t="s">
        <v>448</v>
      </c>
      <c r="B36" s="63">
        <v>40724</v>
      </c>
      <c r="C36" s="68">
        <v>16.7</v>
      </c>
      <c r="D36" s="60"/>
      <c r="E36" s="60"/>
      <c r="F36" s="18" t="s">
        <v>516</v>
      </c>
    </row>
    <row r="37" spans="1:6" x14ac:dyDescent="0.25">
      <c r="A37" s="31" t="s">
        <v>448</v>
      </c>
      <c r="B37" s="63">
        <v>42551</v>
      </c>
      <c r="C37" s="68">
        <v>15.9</v>
      </c>
      <c r="D37" s="60"/>
      <c r="E37" s="60"/>
      <c r="F37" s="18" t="s">
        <v>487</v>
      </c>
    </row>
    <row r="38" spans="1:6" x14ac:dyDescent="0.25">
      <c r="A38" s="31" t="s">
        <v>448</v>
      </c>
      <c r="B38" s="63">
        <v>51317</v>
      </c>
      <c r="C38" s="68">
        <v>15.1</v>
      </c>
      <c r="D38" s="60"/>
      <c r="E38" s="60"/>
      <c r="F38" s="2" t="s">
        <v>489</v>
      </c>
    </row>
    <row r="39" spans="1:6" x14ac:dyDescent="0.25">
      <c r="A39" s="32" t="s">
        <v>450</v>
      </c>
      <c r="B39" s="64">
        <v>42551</v>
      </c>
      <c r="C39" s="68">
        <v>5.0999999999999996</v>
      </c>
      <c r="D39" s="60"/>
      <c r="E39" s="60"/>
      <c r="F39" s="2" t="s">
        <v>516</v>
      </c>
    </row>
    <row r="40" spans="1:6" x14ac:dyDescent="0.25">
      <c r="A40" s="32" t="s">
        <v>450</v>
      </c>
      <c r="B40" s="64">
        <v>42916</v>
      </c>
      <c r="C40" s="68">
        <v>5.2</v>
      </c>
      <c r="D40" s="60"/>
      <c r="E40" s="60"/>
      <c r="F40" s="2" t="s">
        <v>516</v>
      </c>
    </row>
    <row r="41" spans="1:6" x14ac:dyDescent="0.25">
      <c r="A41" s="32" t="s">
        <v>450</v>
      </c>
      <c r="B41" s="64">
        <v>43281</v>
      </c>
      <c r="C41" s="68">
        <v>4.8</v>
      </c>
      <c r="D41" s="60"/>
      <c r="E41" s="60"/>
      <c r="F41" s="18" t="s">
        <v>487</v>
      </c>
    </row>
    <row r="42" spans="1:6" x14ac:dyDescent="0.25">
      <c r="A42" s="32" t="s">
        <v>450</v>
      </c>
      <c r="B42" s="64">
        <v>43646</v>
      </c>
      <c r="C42" s="68">
        <v>4.7</v>
      </c>
      <c r="D42" s="60"/>
      <c r="E42" s="60"/>
      <c r="F42" s="18" t="s">
        <v>488</v>
      </c>
    </row>
    <row r="43" spans="1:6" x14ac:dyDescent="0.25">
      <c r="A43" s="32" t="s">
        <v>450</v>
      </c>
      <c r="B43" s="63">
        <v>51317</v>
      </c>
      <c r="C43" s="68">
        <v>2.1</v>
      </c>
      <c r="D43" s="60"/>
      <c r="E43" s="60"/>
      <c r="F43" s="2" t="s">
        <v>489</v>
      </c>
    </row>
    <row r="44" spans="1:6" x14ac:dyDescent="0.25">
      <c r="A44" s="32" t="s">
        <v>451</v>
      </c>
      <c r="B44" s="63">
        <v>40724</v>
      </c>
      <c r="C44" s="68">
        <v>15.3</v>
      </c>
      <c r="D44" s="60"/>
      <c r="E44" s="60"/>
      <c r="F44" s="18" t="s">
        <v>516</v>
      </c>
    </row>
    <row r="45" spans="1:6" x14ac:dyDescent="0.25">
      <c r="A45" s="32" t="s">
        <v>451</v>
      </c>
      <c r="B45" s="63">
        <v>42551</v>
      </c>
      <c r="C45" s="68">
        <v>17.2</v>
      </c>
      <c r="D45" s="60"/>
      <c r="E45" s="60"/>
      <c r="F45" s="18" t="s">
        <v>487</v>
      </c>
    </row>
    <row r="46" spans="1:6" x14ac:dyDescent="0.25">
      <c r="A46" s="32" t="s">
        <v>451</v>
      </c>
      <c r="B46" s="63">
        <v>51317</v>
      </c>
      <c r="C46" s="68">
        <v>21.5</v>
      </c>
      <c r="D46" s="60"/>
      <c r="E46" s="60"/>
      <c r="F46" s="2" t="s">
        <v>489</v>
      </c>
    </row>
    <row r="47" spans="1:6" x14ac:dyDescent="0.25">
      <c r="A47" s="32" t="s">
        <v>452</v>
      </c>
      <c r="B47" s="65">
        <v>42551</v>
      </c>
      <c r="C47" s="68">
        <v>91.8</v>
      </c>
      <c r="D47" s="60"/>
      <c r="E47" s="60"/>
      <c r="F47" s="2" t="s">
        <v>516</v>
      </c>
    </row>
    <row r="48" spans="1:6" x14ac:dyDescent="0.25">
      <c r="A48" s="32" t="s">
        <v>452</v>
      </c>
      <c r="B48" s="65">
        <v>42916</v>
      </c>
      <c r="C48" s="68">
        <v>91.600000000000009</v>
      </c>
      <c r="D48" s="60"/>
      <c r="E48" s="60"/>
      <c r="F48" s="18" t="s">
        <v>487</v>
      </c>
    </row>
    <row r="49" spans="1:6" x14ac:dyDescent="0.25">
      <c r="A49" s="32" t="s">
        <v>452</v>
      </c>
      <c r="B49" s="63">
        <v>51317</v>
      </c>
      <c r="C49" s="68">
        <v>96.2</v>
      </c>
      <c r="D49" s="60"/>
      <c r="E49" s="60"/>
      <c r="F49" s="2" t="s">
        <v>489</v>
      </c>
    </row>
    <row r="50" spans="1:6" x14ac:dyDescent="0.25">
      <c r="A50" s="32" t="s">
        <v>453</v>
      </c>
      <c r="B50" s="64">
        <v>43281</v>
      </c>
      <c r="C50" s="68">
        <v>17.599999999999998</v>
      </c>
      <c r="D50" s="60"/>
      <c r="E50" s="60"/>
      <c r="F50" s="18" t="s">
        <v>487</v>
      </c>
    </row>
    <row r="51" spans="1:6" x14ac:dyDescent="0.25">
      <c r="A51" s="32" t="s">
        <v>453</v>
      </c>
      <c r="B51" s="64">
        <v>43646</v>
      </c>
      <c r="C51" s="68">
        <v>16.97</v>
      </c>
      <c r="D51" s="60"/>
      <c r="E51" s="60"/>
      <c r="F51" s="18" t="s">
        <v>488</v>
      </c>
    </row>
    <row r="52" spans="1:6" x14ac:dyDescent="0.25">
      <c r="A52" s="32" t="s">
        <v>453</v>
      </c>
      <c r="B52" s="63">
        <v>51317</v>
      </c>
      <c r="C52" s="68">
        <v>80</v>
      </c>
      <c r="D52" s="59"/>
      <c r="E52" s="59"/>
      <c r="F52" s="2" t="s">
        <v>489</v>
      </c>
    </row>
    <row r="53" spans="1:6" x14ac:dyDescent="0.25">
      <c r="A53" s="32" t="s">
        <v>454</v>
      </c>
      <c r="B53" s="65">
        <v>40724</v>
      </c>
      <c r="C53" s="68">
        <v>33.799999999999997</v>
      </c>
      <c r="D53" s="59"/>
      <c r="E53" s="59"/>
      <c r="F53" s="2" t="s">
        <v>516</v>
      </c>
    </row>
    <row r="54" spans="1:6" x14ac:dyDescent="0.25">
      <c r="A54" s="32" t="s">
        <v>454</v>
      </c>
      <c r="B54" s="65">
        <v>42551</v>
      </c>
      <c r="C54" s="68">
        <v>33</v>
      </c>
      <c r="D54" s="59"/>
      <c r="E54" s="59"/>
      <c r="F54" s="18" t="s">
        <v>487</v>
      </c>
    </row>
    <row r="55" spans="1:6" x14ac:dyDescent="0.25">
      <c r="A55" s="32" t="s">
        <v>454</v>
      </c>
      <c r="B55" s="63">
        <v>51317</v>
      </c>
      <c r="C55" s="68">
        <v>48.199999999999996</v>
      </c>
      <c r="D55" s="59"/>
      <c r="E55" s="59"/>
      <c r="F55" s="2" t="s">
        <v>489</v>
      </c>
    </row>
    <row r="56" spans="1:6" x14ac:dyDescent="0.25">
      <c r="A56" s="32" t="s">
        <v>455</v>
      </c>
      <c r="B56" s="64">
        <v>43646</v>
      </c>
      <c r="C56" s="62">
        <v>46.9</v>
      </c>
      <c r="D56" s="62"/>
      <c r="E56" s="62"/>
      <c r="F56" s="18" t="s">
        <v>487</v>
      </c>
    </row>
    <row r="57" spans="1:6" x14ac:dyDescent="0.25">
      <c r="A57" s="32" t="s">
        <v>455</v>
      </c>
      <c r="B57" s="63">
        <v>51317</v>
      </c>
      <c r="C57" s="62">
        <v>49.3</v>
      </c>
      <c r="D57" s="62"/>
      <c r="E57" s="62"/>
      <c r="F57" s="2" t="s">
        <v>489</v>
      </c>
    </row>
    <row r="58" spans="1:6" x14ac:dyDescent="0.25">
      <c r="A58" s="32" t="s">
        <v>456</v>
      </c>
      <c r="B58" s="64">
        <v>43281</v>
      </c>
      <c r="C58" s="62">
        <v>71</v>
      </c>
      <c r="D58" s="62">
        <v>69.282534772719998</v>
      </c>
      <c r="E58" s="62">
        <v>71.891836587279997</v>
      </c>
      <c r="F58" s="18" t="s">
        <v>487</v>
      </c>
    </row>
    <row r="59" spans="1:6" x14ac:dyDescent="0.25">
      <c r="A59" s="32" t="s">
        <v>456</v>
      </c>
      <c r="B59" s="64">
        <v>43646</v>
      </c>
      <c r="C59" s="62">
        <v>71</v>
      </c>
      <c r="D59" s="62">
        <v>69.310210964059195</v>
      </c>
      <c r="E59" s="62">
        <v>71.990952281489598</v>
      </c>
      <c r="F59" s="18" t="s">
        <v>488</v>
      </c>
    </row>
    <row r="60" spans="1:6" x14ac:dyDescent="0.25">
      <c r="A60" s="32" t="s">
        <v>456</v>
      </c>
      <c r="B60" s="63">
        <v>51317</v>
      </c>
      <c r="C60" s="62">
        <v>79</v>
      </c>
      <c r="D60" s="62"/>
      <c r="E60" s="62"/>
      <c r="F60" s="2" t="s">
        <v>489</v>
      </c>
    </row>
    <row r="61" spans="1:6" x14ac:dyDescent="0.25">
      <c r="A61" s="32" t="s">
        <v>457</v>
      </c>
      <c r="B61" s="64">
        <v>43281</v>
      </c>
      <c r="C61" s="68">
        <v>16.7</v>
      </c>
      <c r="D61" s="61"/>
      <c r="E61" s="61"/>
      <c r="F61" s="18" t="s">
        <v>487</v>
      </c>
    </row>
    <row r="62" spans="1:6" x14ac:dyDescent="0.25">
      <c r="A62" s="32" t="s">
        <v>457</v>
      </c>
      <c r="B62" s="64">
        <v>43646</v>
      </c>
      <c r="C62" s="68">
        <v>16.7</v>
      </c>
      <c r="D62" s="61"/>
      <c r="E62" s="61"/>
      <c r="F62" s="18" t="s">
        <v>488</v>
      </c>
    </row>
    <row r="63" spans="1:6" x14ac:dyDescent="0.25">
      <c r="A63" s="32" t="s">
        <v>457</v>
      </c>
      <c r="B63" s="63">
        <v>51317</v>
      </c>
      <c r="C63" s="68">
        <v>100</v>
      </c>
      <c r="D63" s="61"/>
      <c r="E63" s="61"/>
      <c r="F63" s="2" t="s">
        <v>489</v>
      </c>
    </row>
    <row r="64" spans="1:6" x14ac:dyDescent="0.25">
      <c r="A64" s="57" t="s">
        <v>458</v>
      </c>
      <c r="B64" s="64">
        <v>43281</v>
      </c>
      <c r="C64" s="68">
        <v>76.099999999999994</v>
      </c>
      <c r="D64" s="60"/>
      <c r="E64" s="60"/>
      <c r="F64" s="18" t="s">
        <v>487</v>
      </c>
    </row>
    <row r="65" spans="1:6" x14ac:dyDescent="0.25">
      <c r="A65" s="57" t="s">
        <v>458</v>
      </c>
      <c r="B65" s="63">
        <v>51317</v>
      </c>
      <c r="C65" s="68">
        <v>90</v>
      </c>
      <c r="D65" s="60"/>
      <c r="E65" s="60"/>
      <c r="F65" s="2" t="s">
        <v>489</v>
      </c>
    </row>
    <row r="66" spans="1:6" x14ac:dyDescent="0.25">
      <c r="A66" s="71" t="s">
        <v>459</v>
      </c>
      <c r="B66" s="63">
        <v>40724</v>
      </c>
      <c r="C66" s="68">
        <v>21.6</v>
      </c>
      <c r="D66" s="60"/>
      <c r="E66" s="60"/>
      <c r="F66" s="18" t="s">
        <v>516</v>
      </c>
    </row>
    <row r="67" spans="1:6" x14ac:dyDescent="0.25">
      <c r="A67" s="57" t="s">
        <v>459</v>
      </c>
      <c r="B67" s="63">
        <v>42551</v>
      </c>
      <c r="C67" s="68">
        <v>23.6</v>
      </c>
      <c r="D67" s="60"/>
      <c r="E67" s="60"/>
      <c r="F67" s="18" t="s">
        <v>487</v>
      </c>
    </row>
    <row r="68" spans="1:6" x14ac:dyDescent="0.25">
      <c r="A68" s="57" t="s">
        <v>459</v>
      </c>
      <c r="B68" s="63">
        <v>51317</v>
      </c>
      <c r="C68" s="68">
        <v>50.1</v>
      </c>
      <c r="D68" s="60"/>
      <c r="E68" s="60"/>
      <c r="F68" s="2" t="s">
        <v>489</v>
      </c>
    </row>
    <row r="69" spans="1:6" x14ac:dyDescent="0.25">
      <c r="A69" s="72" t="s">
        <v>460</v>
      </c>
      <c r="B69" s="63">
        <v>40724</v>
      </c>
      <c r="C69" s="68">
        <v>10.4</v>
      </c>
      <c r="D69" s="60"/>
      <c r="E69" s="60"/>
      <c r="F69" s="2" t="s">
        <v>516</v>
      </c>
    </row>
    <row r="70" spans="1:6" x14ac:dyDescent="0.25">
      <c r="A70" s="57" t="s">
        <v>460</v>
      </c>
      <c r="B70" s="63">
        <v>42551</v>
      </c>
      <c r="C70" s="68">
        <v>11</v>
      </c>
      <c r="D70" s="60"/>
      <c r="E70" s="60"/>
      <c r="F70" s="18" t="s">
        <v>487</v>
      </c>
    </row>
    <row r="71" spans="1:6" x14ac:dyDescent="0.25">
      <c r="A71" s="57" t="s">
        <v>460</v>
      </c>
      <c r="B71" s="63">
        <v>51317</v>
      </c>
      <c r="C71" s="68">
        <v>11.600000000000001</v>
      </c>
      <c r="D71" s="60"/>
      <c r="E71" s="60"/>
      <c r="F71" s="2" t="s">
        <v>489</v>
      </c>
    </row>
    <row r="72" spans="1:6" x14ac:dyDescent="0.25">
      <c r="A72" s="73" t="s">
        <v>461</v>
      </c>
      <c r="B72" s="63">
        <v>42004</v>
      </c>
      <c r="C72" s="68">
        <v>68</v>
      </c>
      <c r="D72" s="60"/>
      <c r="E72" s="60"/>
      <c r="F72" s="2" t="s">
        <v>516</v>
      </c>
    </row>
    <row r="73" spans="1:6" x14ac:dyDescent="0.25">
      <c r="A73" s="73" t="s">
        <v>461</v>
      </c>
      <c r="B73" s="63">
        <v>42369</v>
      </c>
      <c r="C73" s="68">
        <v>50</v>
      </c>
      <c r="D73" s="60"/>
      <c r="E73" s="60"/>
      <c r="F73" s="2" t="s">
        <v>516</v>
      </c>
    </row>
    <row r="74" spans="1:6" x14ac:dyDescent="0.25">
      <c r="A74" s="73" t="s">
        <v>461</v>
      </c>
      <c r="B74" s="63">
        <v>42735</v>
      </c>
      <c r="C74" s="68">
        <v>52</v>
      </c>
      <c r="D74" s="60"/>
      <c r="E74" s="60"/>
      <c r="F74" s="2" t="s">
        <v>516</v>
      </c>
    </row>
    <row r="75" spans="1:6" x14ac:dyDescent="0.25">
      <c r="A75" s="73" t="s">
        <v>461</v>
      </c>
      <c r="B75" s="63">
        <v>43100</v>
      </c>
      <c r="C75" s="68">
        <v>22</v>
      </c>
      <c r="D75" s="60"/>
      <c r="E75" s="60"/>
      <c r="F75" s="2" t="s">
        <v>516</v>
      </c>
    </row>
    <row r="76" spans="1:6" x14ac:dyDescent="0.25">
      <c r="A76" s="57" t="s">
        <v>461</v>
      </c>
      <c r="B76" s="63">
        <v>43465</v>
      </c>
      <c r="C76" s="62">
        <v>23</v>
      </c>
      <c r="D76" s="62"/>
      <c r="E76" s="62"/>
      <c r="F76" s="18" t="s">
        <v>487</v>
      </c>
    </row>
    <row r="77" spans="1:6" x14ac:dyDescent="0.25">
      <c r="A77" s="57" t="s">
        <v>461</v>
      </c>
      <c r="B77" s="63">
        <v>51501</v>
      </c>
      <c r="C77" s="62">
        <v>0</v>
      </c>
      <c r="D77" s="62"/>
      <c r="E77" s="62"/>
      <c r="F77" s="2" t="s">
        <v>489</v>
      </c>
    </row>
    <row r="78" spans="1:6" x14ac:dyDescent="0.25">
      <c r="A78" s="57" t="s">
        <v>462</v>
      </c>
      <c r="B78" s="64">
        <v>43281</v>
      </c>
      <c r="C78" s="68">
        <v>0</v>
      </c>
      <c r="D78" s="60"/>
      <c r="E78" s="60"/>
      <c r="F78" s="18" t="s">
        <v>487</v>
      </c>
    </row>
    <row r="79" spans="1:6" x14ac:dyDescent="0.25">
      <c r="A79" s="57" t="s">
        <v>462</v>
      </c>
      <c r="B79" s="63">
        <v>51317</v>
      </c>
      <c r="C79" s="68">
        <v>100</v>
      </c>
      <c r="D79" s="60"/>
      <c r="E79" s="60"/>
      <c r="F79" s="2" t="s">
        <v>489</v>
      </c>
    </row>
    <row r="80" spans="1:6" x14ac:dyDescent="0.25">
      <c r="A80" s="57" t="s">
        <v>463</v>
      </c>
      <c r="B80" s="64">
        <v>43281</v>
      </c>
      <c r="C80" s="68">
        <v>0</v>
      </c>
      <c r="D80" s="61"/>
      <c r="E80" s="61"/>
      <c r="F80" s="18" t="s">
        <v>487</v>
      </c>
    </row>
    <row r="81" spans="1:6" x14ac:dyDescent="0.25">
      <c r="A81" s="57" t="s">
        <v>463</v>
      </c>
      <c r="B81" s="64">
        <v>43646</v>
      </c>
      <c r="C81" s="68">
        <v>60.699999999999996</v>
      </c>
      <c r="D81" s="61"/>
      <c r="E81" s="61"/>
      <c r="F81" s="18" t="s">
        <v>488</v>
      </c>
    </row>
    <row r="82" spans="1:6" x14ac:dyDescent="0.25">
      <c r="A82" s="57" t="s">
        <v>463</v>
      </c>
      <c r="B82" s="63">
        <v>51317</v>
      </c>
      <c r="C82" s="68">
        <v>100</v>
      </c>
      <c r="D82" s="61"/>
      <c r="E82" s="61"/>
      <c r="F82" s="2" t="s">
        <v>489</v>
      </c>
    </row>
    <row r="83" spans="1:6" x14ac:dyDescent="0.25">
      <c r="A83" s="33" t="s">
        <v>464</v>
      </c>
      <c r="B83" s="64">
        <v>43281</v>
      </c>
      <c r="C83" s="62">
        <v>2773</v>
      </c>
      <c r="D83" s="62"/>
      <c r="E83" s="62"/>
      <c r="F83" s="18" t="s">
        <v>487</v>
      </c>
    </row>
    <row r="84" spans="1:6" x14ac:dyDescent="0.25">
      <c r="A84" s="33" t="s">
        <v>464</v>
      </c>
      <c r="B84" s="64">
        <v>43646</v>
      </c>
      <c r="C84" s="62">
        <v>1746</v>
      </c>
      <c r="D84" s="62"/>
      <c r="E84" s="62"/>
      <c r="F84" s="18" t="s">
        <v>488</v>
      </c>
    </row>
    <row r="85" spans="1:6" x14ac:dyDescent="0.25">
      <c r="A85" s="33" t="s">
        <v>464</v>
      </c>
      <c r="B85" s="63">
        <v>51317</v>
      </c>
      <c r="C85" s="62">
        <v>139</v>
      </c>
      <c r="D85" s="62"/>
      <c r="E85" s="62"/>
      <c r="F85" s="2" t="s">
        <v>489</v>
      </c>
    </row>
    <row r="86" spans="1:6" x14ac:dyDescent="0.25">
      <c r="A86" s="33" t="s">
        <v>471</v>
      </c>
      <c r="B86" s="64">
        <v>43281</v>
      </c>
      <c r="C86" s="62">
        <v>1300000</v>
      </c>
      <c r="D86" s="62"/>
      <c r="E86" s="62"/>
      <c r="F86" s="18" t="s">
        <v>487</v>
      </c>
    </row>
    <row r="87" spans="1:6" x14ac:dyDescent="0.25">
      <c r="A87" s="33" t="s">
        <v>471</v>
      </c>
      <c r="B87" s="63">
        <v>51317</v>
      </c>
      <c r="C87" s="62">
        <v>0</v>
      </c>
      <c r="D87" s="62"/>
      <c r="E87" s="62"/>
      <c r="F87" s="2" t="s">
        <v>489</v>
      </c>
    </row>
    <row r="88" spans="1:6" x14ac:dyDescent="0.25">
      <c r="A88" s="33" t="s">
        <v>465</v>
      </c>
      <c r="B88" s="64">
        <v>43281</v>
      </c>
      <c r="C88" s="62">
        <v>49917</v>
      </c>
      <c r="D88" s="62"/>
      <c r="E88" s="62"/>
      <c r="F88" s="18" t="s">
        <v>487</v>
      </c>
    </row>
    <row r="89" spans="1:6" x14ac:dyDescent="0.25">
      <c r="A89" s="33" t="s">
        <v>465</v>
      </c>
      <c r="B89" s="64">
        <v>43646</v>
      </c>
      <c r="C89" s="62">
        <v>51573</v>
      </c>
      <c r="D89" s="62"/>
      <c r="E89" s="62"/>
      <c r="F89" s="18" t="s">
        <v>488</v>
      </c>
    </row>
    <row r="90" spans="1:6" x14ac:dyDescent="0.25">
      <c r="A90" s="33" t="s">
        <v>465</v>
      </c>
      <c r="B90" s="63">
        <v>51317</v>
      </c>
      <c r="C90" s="62">
        <v>54909</v>
      </c>
      <c r="D90" s="62"/>
      <c r="E90" s="62"/>
      <c r="F90" s="2" t="s">
        <v>489</v>
      </c>
    </row>
    <row r="91" spans="1:6" x14ac:dyDescent="0.25">
      <c r="A91" s="33" t="s">
        <v>472</v>
      </c>
      <c r="B91" s="64">
        <v>42185</v>
      </c>
      <c r="C91" s="62">
        <v>127</v>
      </c>
      <c r="D91" s="62"/>
      <c r="E91" s="62"/>
      <c r="F91" s="18" t="s">
        <v>487</v>
      </c>
    </row>
    <row r="92" spans="1:6" x14ac:dyDescent="0.25">
      <c r="A92" s="33" t="s">
        <v>472</v>
      </c>
      <c r="B92" s="63">
        <v>51317</v>
      </c>
      <c r="C92" s="62">
        <v>57</v>
      </c>
      <c r="D92" s="62"/>
      <c r="E92" s="62"/>
      <c r="F92" s="2" t="s">
        <v>489</v>
      </c>
    </row>
    <row r="93" spans="1:6" x14ac:dyDescent="0.25">
      <c r="A93" s="33" t="s">
        <v>473</v>
      </c>
      <c r="B93" s="64">
        <v>42185</v>
      </c>
      <c r="C93" s="62">
        <v>12000</v>
      </c>
      <c r="D93" s="62"/>
      <c r="E93" s="62"/>
      <c r="F93" s="18" t="s">
        <v>487</v>
      </c>
    </row>
    <row r="94" spans="1:6" x14ac:dyDescent="0.25">
      <c r="A94" s="33" t="s">
        <v>473</v>
      </c>
      <c r="B94" s="63">
        <v>51317</v>
      </c>
      <c r="C94" s="62">
        <v>6700</v>
      </c>
      <c r="D94" s="62"/>
      <c r="E94" s="62"/>
      <c r="F94" s="2" t="s">
        <v>489</v>
      </c>
    </row>
    <row r="95" spans="1:6" x14ac:dyDescent="0.25">
      <c r="A95" s="33" t="s">
        <v>474</v>
      </c>
      <c r="B95" s="64">
        <v>43281</v>
      </c>
      <c r="C95" s="68">
        <v>17</v>
      </c>
      <c r="D95" s="68">
        <v>16</v>
      </c>
      <c r="E95" s="68">
        <v>18</v>
      </c>
      <c r="F95" s="18" t="s">
        <v>487</v>
      </c>
    </row>
    <row r="96" spans="1:6" x14ac:dyDescent="0.25">
      <c r="A96" s="33" t="s">
        <v>474</v>
      </c>
      <c r="B96" s="63">
        <v>51317</v>
      </c>
      <c r="C96" s="68">
        <v>30</v>
      </c>
      <c r="D96" s="68"/>
      <c r="E96" s="68"/>
      <c r="F96" s="2" t="s">
        <v>489</v>
      </c>
    </row>
    <row r="97" spans="1:6" x14ac:dyDescent="0.25">
      <c r="A97" s="33" t="s">
        <v>475</v>
      </c>
      <c r="B97" s="64">
        <v>42185</v>
      </c>
      <c r="C97" s="68">
        <v>39</v>
      </c>
      <c r="D97" s="68"/>
      <c r="E97" s="68"/>
      <c r="F97" s="18" t="s">
        <v>487</v>
      </c>
    </row>
    <row r="98" spans="1:6" x14ac:dyDescent="0.25">
      <c r="A98" s="33" t="s">
        <v>475</v>
      </c>
      <c r="B98" s="63">
        <v>51317</v>
      </c>
      <c r="C98" s="68">
        <v>35</v>
      </c>
      <c r="D98" s="68"/>
      <c r="E98" s="68"/>
      <c r="F98" s="2" t="s">
        <v>489</v>
      </c>
    </row>
    <row r="99" spans="1:6" x14ac:dyDescent="0.25">
      <c r="A99" s="33" t="s">
        <v>474</v>
      </c>
      <c r="B99" s="63">
        <v>51317</v>
      </c>
      <c r="C99" s="68">
        <v>30</v>
      </c>
      <c r="D99" s="61"/>
      <c r="E99" s="61"/>
      <c r="F99" s="2" t="s">
        <v>489</v>
      </c>
    </row>
    <row r="100" spans="1:6" x14ac:dyDescent="0.25">
      <c r="A100" s="33" t="s">
        <v>466</v>
      </c>
      <c r="B100" s="64">
        <v>43281</v>
      </c>
      <c r="C100" s="68">
        <v>41.67</v>
      </c>
      <c r="F100" s="18" t="s">
        <v>487</v>
      </c>
    </row>
    <row r="101" spans="1:6" x14ac:dyDescent="0.25">
      <c r="A101" s="33" t="s">
        <v>466</v>
      </c>
      <c r="B101" s="64">
        <v>43646</v>
      </c>
      <c r="C101" s="68">
        <v>41.11</v>
      </c>
      <c r="F101" s="18" t="s">
        <v>488</v>
      </c>
    </row>
    <row r="102" spans="1:6" x14ac:dyDescent="0.25">
      <c r="A102" s="33" t="s">
        <v>466</v>
      </c>
      <c r="B102" s="63">
        <v>51317</v>
      </c>
      <c r="C102" s="68">
        <v>90</v>
      </c>
      <c r="F102" s="2" t="s">
        <v>489</v>
      </c>
    </row>
    <row r="103" spans="1:6" x14ac:dyDescent="0.25">
      <c r="A103" s="33" t="s">
        <v>467</v>
      </c>
      <c r="B103" s="64">
        <v>43646</v>
      </c>
      <c r="C103" s="68">
        <v>50</v>
      </c>
      <c r="F103" s="18" t="s">
        <v>487</v>
      </c>
    </row>
    <row r="104" spans="1:6" x14ac:dyDescent="0.25">
      <c r="A104" s="33" t="s">
        <v>467</v>
      </c>
      <c r="B104" s="63">
        <v>51317</v>
      </c>
      <c r="C104" s="68">
        <v>75</v>
      </c>
      <c r="F104" s="2" t="s">
        <v>489</v>
      </c>
    </row>
    <row r="105" spans="1:6" x14ac:dyDescent="0.25">
      <c r="A105" s="33" t="s">
        <v>476</v>
      </c>
      <c r="B105" s="64">
        <v>43646</v>
      </c>
      <c r="C105" s="68">
        <v>80</v>
      </c>
      <c r="F105" s="18" t="s">
        <v>487</v>
      </c>
    </row>
    <row r="106" spans="1:6" x14ac:dyDescent="0.25">
      <c r="A106" s="33" t="s">
        <v>476</v>
      </c>
      <c r="B106" s="63">
        <v>51317</v>
      </c>
      <c r="C106" s="68">
        <v>100</v>
      </c>
      <c r="F106" s="2" t="s">
        <v>489</v>
      </c>
    </row>
    <row r="107" spans="1:6" x14ac:dyDescent="0.25">
      <c r="A107" s="34" t="s">
        <v>468</v>
      </c>
      <c r="B107" s="64">
        <v>43281</v>
      </c>
      <c r="C107" s="68">
        <v>75</v>
      </c>
      <c r="F107" s="18" t="s">
        <v>487</v>
      </c>
    </row>
    <row r="108" spans="1:6" x14ac:dyDescent="0.25">
      <c r="A108" s="34" t="s">
        <v>468</v>
      </c>
      <c r="B108" s="64">
        <v>43646</v>
      </c>
      <c r="C108" s="68">
        <v>80</v>
      </c>
      <c r="F108" s="18" t="s">
        <v>488</v>
      </c>
    </row>
    <row r="109" spans="1:6" x14ac:dyDescent="0.25">
      <c r="A109" s="34" t="s">
        <v>468</v>
      </c>
      <c r="B109" s="63">
        <v>51317</v>
      </c>
      <c r="C109" s="68">
        <v>100</v>
      </c>
      <c r="F109" s="2" t="s">
        <v>489</v>
      </c>
    </row>
    <row r="110" spans="1:6" x14ac:dyDescent="0.25">
      <c r="A110" s="34" t="s">
        <v>469</v>
      </c>
      <c r="B110" s="64">
        <v>43281</v>
      </c>
      <c r="C110" s="68">
        <v>0</v>
      </c>
      <c r="F110" s="18" t="s">
        <v>487</v>
      </c>
    </row>
    <row r="111" spans="1:6" x14ac:dyDescent="0.25">
      <c r="A111" s="34" t="s">
        <v>469</v>
      </c>
      <c r="B111" s="64">
        <v>43646</v>
      </c>
      <c r="C111" s="68">
        <v>5.5</v>
      </c>
      <c r="F111" s="18" t="s">
        <v>488</v>
      </c>
    </row>
    <row r="112" spans="1:6" x14ac:dyDescent="0.25">
      <c r="A112" s="34" t="s">
        <v>469</v>
      </c>
      <c r="B112" s="63">
        <v>51317</v>
      </c>
      <c r="C112" s="68">
        <v>100</v>
      </c>
      <c r="F112" s="2" t="s">
        <v>489</v>
      </c>
    </row>
    <row r="113" spans="1:6" x14ac:dyDescent="0.25">
      <c r="A113" s="34" t="s">
        <v>477</v>
      </c>
      <c r="B113" s="64">
        <v>43281</v>
      </c>
      <c r="C113" s="62">
        <v>4.17</v>
      </c>
      <c r="F113" s="18" t="s">
        <v>487</v>
      </c>
    </row>
    <row r="114" spans="1:6" x14ac:dyDescent="0.25">
      <c r="A114" s="34" t="s">
        <v>477</v>
      </c>
      <c r="B114" s="64">
        <v>43646</v>
      </c>
      <c r="C114" s="62">
        <v>4.13</v>
      </c>
      <c r="F114" s="18" t="s">
        <v>488</v>
      </c>
    </row>
    <row r="115" spans="1:6" x14ac:dyDescent="0.25">
      <c r="A115" s="34" t="s">
        <v>477</v>
      </c>
      <c r="B115" s="63">
        <v>51317</v>
      </c>
      <c r="C115" s="62">
        <v>4.38</v>
      </c>
      <c r="F115" s="2" t="s">
        <v>489</v>
      </c>
    </row>
    <row r="116" spans="1:6" x14ac:dyDescent="0.25">
      <c r="A116" s="34" t="s">
        <v>470</v>
      </c>
      <c r="B116" s="64">
        <v>43281</v>
      </c>
      <c r="C116" s="62">
        <v>91.1</v>
      </c>
      <c r="F116" s="18" t="s">
        <v>487</v>
      </c>
    </row>
    <row r="117" spans="1:6" x14ac:dyDescent="0.25">
      <c r="A117" s="34" t="s">
        <v>470</v>
      </c>
      <c r="B117" s="63">
        <v>51317</v>
      </c>
      <c r="C117">
        <v>95</v>
      </c>
      <c r="F117" s="2" t="s">
        <v>489</v>
      </c>
    </row>
    <row r="118" spans="1:6" x14ac:dyDescent="0.25">
      <c r="A118" s="34" t="s">
        <v>478</v>
      </c>
      <c r="B118" s="65">
        <v>40724</v>
      </c>
      <c r="C118" s="68">
        <v>55.000000000000007</v>
      </c>
      <c r="F118" s="18" t="s">
        <v>487</v>
      </c>
    </row>
    <row r="119" spans="1:6" x14ac:dyDescent="0.25">
      <c r="A119" s="34" t="s">
        <v>478</v>
      </c>
      <c r="B119" s="63">
        <v>51317</v>
      </c>
      <c r="C119" s="68">
        <v>57.8</v>
      </c>
      <c r="F119" s="2" t="s">
        <v>489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F21" sqref="F21"/>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25" t="s">
        <v>480</v>
      </c>
      <c r="B1" s="58" t="s">
        <v>482</v>
      </c>
      <c r="C1" s="58" t="s">
        <v>493</v>
      </c>
    </row>
    <row r="2" spans="1:3" x14ac:dyDescent="0.25">
      <c r="A2" s="31" t="s">
        <v>441</v>
      </c>
      <c r="B2" t="s">
        <v>483</v>
      </c>
      <c r="C2" t="s">
        <v>501</v>
      </c>
    </row>
    <row r="3" spans="1:3" x14ac:dyDescent="0.25">
      <c r="A3" s="31" t="s">
        <v>443</v>
      </c>
      <c r="B3" t="s">
        <v>485</v>
      </c>
      <c r="C3" t="s">
        <v>554</v>
      </c>
    </row>
    <row r="4" spans="1:3" x14ac:dyDescent="0.25">
      <c r="A4" s="31" t="s">
        <v>442</v>
      </c>
      <c r="B4" t="s">
        <v>485</v>
      </c>
      <c r="C4" t="s">
        <v>554</v>
      </c>
    </row>
    <row r="5" spans="1:3" x14ac:dyDescent="0.25">
      <c r="A5" s="31" t="s">
        <v>444</v>
      </c>
      <c r="B5" t="s">
        <v>485</v>
      </c>
      <c r="C5" t="s">
        <v>502</v>
      </c>
    </row>
    <row r="6" spans="1:3" x14ac:dyDescent="0.25">
      <c r="A6" s="31" t="s">
        <v>445</v>
      </c>
      <c r="B6" t="s">
        <v>485</v>
      </c>
      <c r="C6" t="s">
        <v>554</v>
      </c>
    </row>
    <row r="7" spans="1:3" x14ac:dyDescent="0.25">
      <c r="A7" s="31" t="s">
        <v>446</v>
      </c>
      <c r="B7" t="s">
        <v>485</v>
      </c>
      <c r="C7" t="s">
        <v>502</v>
      </c>
    </row>
    <row r="8" spans="1:3" x14ac:dyDescent="0.25">
      <c r="A8" s="31" t="s">
        <v>449</v>
      </c>
      <c r="B8" t="s">
        <v>485</v>
      </c>
      <c r="C8" t="s">
        <v>554</v>
      </c>
    </row>
    <row r="9" spans="1:3" x14ac:dyDescent="0.25">
      <c r="A9" s="31" t="s">
        <v>490</v>
      </c>
      <c r="B9" t="s">
        <v>485</v>
      </c>
      <c r="C9" t="s">
        <v>554</v>
      </c>
    </row>
    <row r="10" spans="1:3" x14ac:dyDescent="0.25">
      <c r="A10" s="31" t="s">
        <v>491</v>
      </c>
      <c r="B10" t="s">
        <v>485</v>
      </c>
      <c r="C10" t="s">
        <v>502</v>
      </c>
    </row>
    <row r="11" spans="1:3" x14ac:dyDescent="0.25">
      <c r="A11" s="31" t="s">
        <v>447</v>
      </c>
      <c r="B11" t="s">
        <v>484</v>
      </c>
      <c r="C11" t="s">
        <v>555</v>
      </c>
    </row>
    <row r="12" spans="1:3" x14ac:dyDescent="0.25">
      <c r="A12" s="31" t="s">
        <v>448</v>
      </c>
      <c r="B12" t="s">
        <v>485</v>
      </c>
      <c r="C12" t="s">
        <v>502</v>
      </c>
    </row>
    <row r="13" spans="1:3" x14ac:dyDescent="0.25">
      <c r="A13" s="32" t="s">
        <v>450</v>
      </c>
      <c r="B13" t="s">
        <v>485</v>
      </c>
      <c r="C13" t="s">
        <v>502</v>
      </c>
    </row>
    <row r="14" spans="1:3" x14ac:dyDescent="0.25">
      <c r="A14" s="32" t="s">
        <v>451</v>
      </c>
      <c r="B14" t="s">
        <v>485</v>
      </c>
      <c r="C14" t="s">
        <v>502</v>
      </c>
    </row>
    <row r="15" spans="1:3" x14ac:dyDescent="0.25">
      <c r="A15" s="32" t="s">
        <v>452</v>
      </c>
      <c r="B15" t="s">
        <v>485</v>
      </c>
      <c r="C15" t="s">
        <v>502</v>
      </c>
    </row>
    <row r="16" spans="1:3" x14ac:dyDescent="0.25">
      <c r="A16" s="32" t="s">
        <v>453</v>
      </c>
      <c r="B16" t="s">
        <v>485</v>
      </c>
      <c r="C16" t="s">
        <v>502</v>
      </c>
    </row>
    <row r="17" spans="1:3" x14ac:dyDescent="0.25">
      <c r="A17" s="32" t="s">
        <v>454</v>
      </c>
      <c r="B17" t="s">
        <v>485</v>
      </c>
      <c r="C17" t="s">
        <v>502</v>
      </c>
    </row>
    <row r="18" spans="1:3" x14ac:dyDescent="0.25">
      <c r="A18" s="32" t="s">
        <v>455</v>
      </c>
      <c r="B18" t="s">
        <v>483</v>
      </c>
      <c r="C18" t="s">
        <v>501</v>
      </c>
    </row>
    <row r="19" spans="1:3" x14ac:dyDescent="0.25">
      <c r="A19" s="32" t="s">
        <v>456</v>
      </c>
      <c r="B19" t="s">
        <v>484</v>
      </c>
      <c r="C19" t="s">
        <v>555</v>
      </c>
    </row>
    <row r="20" spans="1:3" x14ac:dyDescent="0.25">
      <c r="A20" s="32" t="s">
        <v>457</v>
      </c>
      <c r="B20" t="s">
        <v>485</v>
      </c>
      <c r="C20" t="s">
        <v>502</v>
      </c>
    </row>
    <row r="21" spans="1:3" x14ac:dyDescent="0.25">
      <c r="A21" s="57" t="s">
        <v>458</v>
      </c>
      <c r="B21" t="s">
        <v>485</v>
      </c>
      <c r="C21" t="s">
        <v>502</v>
      </c>
    </row>
    <row r="22" spans="1:3" x14ac:dyDescent="0.25">
      <c r="A22" s="57" t="s">
        <v>459</v>
      </c>
      <c r="B22" t="s">
        <v>485</v>
      </c>
      <c r="C22" t="s">
        <v>502</v>
      </c>
    </row>
    <row r="23" spans="1:3" x14ac:dyDescent="0.25">
      <c r="A23" s="57" t="s">
        <v>460</v>
      </c>
      <c r="B23" t="s">
        <v>485</v>
      </c>
      <c r="C23" t="s">
        <v>502</v>
      </c>
    </row>
    <row r="24" spans="1:3" x14ac:dyDescent="0.25">
      <c r="A24" s="57" t="s">
        <v>461</v>
      </c>
      <c r="B24" t="s">
        <v>484</v>
      </c>
      <c r="C24" t="s">
        <v>561</v>
      </c>
    </row>
    <row r="25" spans="1:3" x14ac:dyDescent="0.25">
      <c r="A25" s="57" t="s">
        <v>462</v>
      </c>
      <c r="B25" t="s">
        <v>485</v>
      </c>
      <c r="C25" t="s">
        <v>502</v>
      </c>
    </row>
    <row r="26" spans="1:3" x14ac:dyDescent="0.25">
      <c r="A26" s="57" t="s">
        <v>463</v>
      </c>
      <c r="B26" t="s">
        <v>485</v>
      </c>
      <c r="C26" t="s">
        <v>502</v>
      </c>
    </row>
    <row r="27" spans="1:3" x14ac:dyDescent="0.25">
      <c r="A27" s="33" t="s">
        <v>464</v>
      </c>
      <c r="B27" t="s">
        <v>484</v>
      </c>
      <c r="C27" t="s">
        <v>503</v>
      </c>
    </row>
    <row r="28" spans="1:3" x14ac:dyDescent="0.25">
      <c r="A28" s="33" t="s">
        <v>471</v>
      </c>
      <c r="B28" t="s">
        <v>484</v>
      </c>
      <c r="C28" t="s">
        <v>503</v>
      </c>
    </row>
    <row r="29" spans="1:3" x14ac:dyDescent="0.25">
      <c r="A29" s="33" t="s">
        <v>465</v>
      </c>
      <c r="B29" t="s">
        <v>484</v>
      </c>
      <c r="C29" t="s">
        <v>504</v>
      </c>
    </row>
    <row r="30" spans="1:3" x14ac:dyDescent="0.25">
      <c r="A30" s="33" t="s">
        <v>472</v>
      </c>
      <c r="B30" t="s">
        <v>484</v>
      </c>
      <c r="C30" t="s">
        <v>505</v>
      </c>
    </row>
    <row r="31" spans="1:3" x14ac:dyDescent="0.25">
      <c r="A31" s="33" t="s">
        <v>473</v>
      </c>
      <c r="B31" t="s">
        <v>484</v>
      </c>
      <c r="C31" t="s">
        <v>505</v>
      </c>
    </row>
    <row r="32" spans="1:3" x14ac:dyDescent="0.25">
      <c r="A32" s="33" t="s">
        <v>474</v>
      </c>
      <c r="B32" t="s">
        <v>485</v>
      </c>
      <c r="C32" t="s">
        <v>554</v>
      </c>
    </row>
    <row r="33" spans="1:3" x14ac:dyDescent="0.25">
      <c r="A33" s="33" t="s">
        <v>475</v>
      </c>
      <c r="B33" t="s">
        <v>484</v>
      </c>
      <c r="C33" t="s">
        <v>505</v>
      </c>
    </row>
    <row r="34" spans="1:3" x14ac:dyDescent="0.25">
      <c r="A34" s="33" t="s">
        <v>466</v>
      </c>
      <c r="B34" t="s">
        <v>485</v>
      </c>
      <c r="C34" t="s">
        <v>502</v>
      </c>
    </row>
    <row r="35" spans="1:3" x14ac:dyDescent="0.25">
      <c r="A35" s="33" t="s">
        <v>467</v>
      </c>
      <c r="B35" t="s">
        <v>485</v>
      </c>
      <c r="C35" t="s">
        <v>502</v>
      </c>
    </row>
    <row r="36" spans="1:3" x14ac:dyDescent="0.25">
      <c r="A36" s="33" t="s">
        <v>476</v>
      </c>
      <c r="B36" t="s">
        <v>485</v>
      </c>
      <c r="C36" t="s">
        <v>502</v>
      </c>
    </row>
    <row r="37" spans="1:3" x14ac:dyDescent="0.25">
      <c r="A37" s="34" t="s">
        <v>468</v>
      </c>
      <c r="B37" t="s">
        <v>485</v>
      </c>
      <c r="C37" t="s">
        <v>502</v>
      </c>
    </row>
    <row r="38" spans="1:3" x14ac:dyDescent="0.25">
      <c r="A38" s="34" t="s">
        <v>469</v>
      </c>
      <c r="B38" t="s">
        <v>485</v>
      </c>
      <c r="C38" t="s">
        <v>502</v>
      </c>
    </row>
    <row r="39" spans="1:3" x14ac:dyDescent="0.25">
      <c r="A39" s="34" t="s">
        <v>477</v>
      </c>
      <c r="B39" t="s">
        <v>483</v>
      </c>
      <c r="C39" t="s">
        <v>501</v>
      </c>
    </row>
    <row r="40" spans="1:3" x14ac:dyDescent="0.25">
      <c r="A40" s="34" t="s">
        <v>470</v>
      </c>
      <c r="B40" t="s">
        <v>485</v>
      </c>
      <c r="C40" t="s">
        <v>502</v>
      </c>
    </row>
    <row r="41" spans="1:3" x14ac:dyDescent="0.25">
      <c r="A41" s="34" t="s">
        <v>478</v>
      </c>
      <c r="B41" t="s">
        <v>485</v>
      </c>
      <c r="C41" t="s">
        <v>502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Targets Indicators Measures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2019-12-10T21:50:18Z</dcterms:modified>
</cp:coreProperties>
</file>