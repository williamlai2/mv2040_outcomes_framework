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mv2040_outcomes_framework\"/>
    </mc:Choice>
  </mc:AlternateContent>
  <xr:revisionPtr revIDLastSave="0" documentId="13_ncr:1_{1619471D-CEB0-4B8E-B4D0-77B80478A028}" xr6:coauthVersionLast="36" xr6:coauthVersionMax="36" xr10:uidLastSave="{00000000-0000-0000-0000-000000000000}"/>
  <bookViews>
    <workbookView xWindow="0" yWindow="0" windowWidth="22920" windowHeight="15240" firstSheet="1" activeTab="7" xr2:uid="{EDE946D3-B550-4852-B98C-D382147A5E7C}"/>
  </bookViews>
  <sheets>
    <sheet name="Targets Indicators Measures" sheetId="9" r:id="rId1"/>
    <sheet name="Additional indicators" sheetId="5" r:id="rId2"/>
    <sheet name="Themeing indicators" sheetId="7" r:id="rId3"/>
    <sheet name="Notes" sheetId="11" r:id="rId4"/>
    <sheet name="indicator_list" sheetId="12" r:id="rId5"/>
    <sheet name="inds_goals" sheetId="16" r:id="rId6"/>
    <sheet name="goals" sheetId="13" r:id="rId7"/>
    <sheet name="data" sheetId="14" r:id="rId8"/>
    <sheet name="data_format" sheetId="15" r:id="rId9"/>
  </sheets>
  <definedNames>
    <definedName name="_xlnm._FilterDatabase" localSheetId="1" hidden="1">'Additional indicators'!$B$2:$F$143</definedName>
    <definedName name="_xlnm._FilterDatabase" localSheetId="7" hidden="1">data!$A$1:$I$108</definedName>
    <definedName name="_xlnm._FilterDatabase" localSheetId="4"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<sst xmlns="http://schemas.openxmlformats.org/spreadsheetml/2006/main" count="3209" uniqueCount="773">
  <si>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</si>
  <si>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</si>
  <si>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</si>
  <si>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</si>
  <si>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</si>
  <si>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</si>
  <si>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</si>
  <si>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</si>
  <si>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</si>
  <si>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</si>
  <si>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</si>
  <si>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</si>
  <si>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</si>
  <si>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</si>
  <si>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</si>
  <si>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</si>
  <si>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</si>
  <si>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Diversity and inclusion (DI)</t>
  </si>
  <si>
    <t>Health and safety (HS)</t>
  </si>
  <si>
    <t>Business and employment (BE)</t>
  </si>
  <si>
    <t>Leisure and recreation (LR)</t>
  </si>
  <si>
    <t>Technology (T)</t>
  </si>
  <si>
    <t>Public transport (PT)</t>
  </si>
  <si>
    <t>Active transport (AT)</t>
  </si>
  <si>
    <t>Australian Early Development Census</t>
  </si>
  <si>
    <t>Remplan</t>
  </si>
  <si>
    <t>Council annual audit</t>
  </si>
  <si>
    <t xml:space="preserve">ABS, SGS </t>
  </si>
  <si>
    <t xml:space="preserve">ABS - Census of Population and Housing </t>
  </si>
  <si>
    <t>Community facilities (CF)
(includes services)</t>
  </si>
  <si>
    <t>LR - Number of public events</t>
  </si>
  <si>
    <t>Public events contibute to a vibrant community</t>
  </si>
  <si>
    <t>CR- Number of certified Green Star buildings</t>
  </si>
  <si>
    <t xml:space="preserve">Influencing sustainable building practices </t>
  </si>
  <si>
    <t>AT- Number of mobility enhanced crossings</t>
  </si>
  <si>
    <t>Improve ease of movement of pedestrians/cyclists</t>
  </si>
  <si>
    <t>CR- GHG emission corporate target (20% reduction below 1995 by 2010) and community target (15% reduction below 2007 by 2020 and 50% by 2050)</t>
  </si>
  <si>
    <t>PS - Park area improvement measured in sqm</t>
  </si>
  <si>
    <t>Reflects commitment to serve growing population with diverse needs in land strapped community</t>
  </si>
  <si>
    <t>LR - Number of visit to City library</t>
  </si>
  <si>
    <t xml:space="preserve">Key instituion supporting literacy and promoting social interaction </t>
  </si>
  <si>
    <t>BE -Number of home based businesses</t>
  </si>
  <si>
    <t>Help track employment levels in the City including ability to live and work in the same community</t>
  </si>
  <si>
    <t>The two measures when looked together helps assess the level of equity and inclusion</t>
  </si>
  <si>
    <t>DI - Income distribution and diversity index (percentage of times two randomly selected people differ by race/ethnicity - a higher number indicates more diversity)</t>
  </si>
  <si>
    <t xml:space="preserve">DI - Resident satisfaction with their neighbourhood and municipality (by 2035 95% are satisfied) </t>
  </si>
  <si>
    <t>Responses to this question say a lot about how services are distributed and how smoothly a city is running</t>
  </si>
  <si>
    <t>Although some students find an alternative path - finishing high school early, later or through alternative programs - the on-time high school graduation rate remains a solid indicator of support and preparedness for future success. It tells us about the strength of student support networks, and it indicates whether we are likely to have an able and well-trained workforce, critical to a strong economy and safe and healthy city</t>
  </si>
  <si>
    <t>DI - Percentage of households that are economically self-sufficient (90% by 2035) - income sufficient to meet the basic needs of most adults (inc housing, childcare, food, health care and transportation) based on service sector annual income</t>
  </si>
  <si>
    <t>BE -Number of jobs in the city (measuring job growth)</t>
  </si>
  <si>
    <t xml:space="preserve">PT - Percentage of residents who take transit </t>
  </si>
  <si>
    <t>Human health benefits, reduced carbon emissions</t>
  </si>
  <si>
    <t>HS - Percentage of residents who live in a complete neighbourhood (n'hood where people have safe and convenient access to the goods and services needed in daily life)</t>
  </si>
  <si>
    <t>Having safe, convenient and walkable access to schools, parks, a grocery store and transit can help reduce household transportation costs, make it easier to incorporate exercise into your daily life and reduce carbon emissions (20-minute neighbourhood index)</t>
  </si>
  <si>
    <t xml:space="preserve">PS -Access to parks and greenspace </t>
  </si>
  <si>
    <t>HS -Percentage of adults at a healthy weight</t>
  </si>
  <si>
    <t>Potential health impacts have adverse impact on quality of life, increase the risk of premature mortality and have a significant impact on household health costs</t>
  </si>
  <si>
    <t>HS -Percentage of residents that report feeling safe or very safe walking alone in their neighbourhood at night</t>
  </si>
  <si>
    <t xml:space="preserve">If residents do not feel safe they may be less likely to leave their homes or use certain public space. This reduced mobility can cause related social isolation and exacerbate health consequences </t>
  </si>
  <si>
    <t>H -Number of approve residential untis and non-residential GFA (gross floor area)</t>
  </si>
  <si>
    <t xml:space="preserve">The Plan is the City's principal tool for managing growth and development. The greater the magnitude of change, the greater the potential impact of the Plan to shape Toronto. This indicator provides context for the indicators that follow by showing the magnitude of change </t>
  </si>
  <si>
    <t>H -Percentage of approved development (residential and non-residential) occurring within 500 metres of existing or planned higher order transit</t>
  </si>
  <si>
    <t>The Plan directs growth to… in order to concentrate jbos and people in areas well served by surface transit and rapid transit stations</t>
  </si>
  <si>
    <t>BE -Percentage of fulltime and parttime jobs located in the city</t>
  </si>
  <si>
    <t xml:space="preserve">BE- Square metres of office space approved </t>
  </si>
  <si>
    <t>Creates positive climate for economic growth and commericla office development. The addition of office spaces will also contribute to the brader mix of uses</t>
  </si>
  <si>
    <t>PT/AT - Percentage of morning peak trips by mode for trips originating from within the city (car, walk/cycle, PT, shared)</t>
  </si>
  <si>
    <t xml:space="preserve">Parks and open spaces is a necessary element of city-building as the city grows and changes </t>
  </si>
  <si>
    <t>PS - New parkland area, acquisition and secured through development (measured in ha)</t>
  </si>
  <si>
    <t>PS - Number of dollar secured for public ar through the planning approval process</t>
  </si>
  <si>
    <t xml:space="preserve">DI - Percentage of residents who feel part of their community </t>
  </si>
  <si>
    <t>HS - Recorded crimes per 100,000 population</t>
  </si>
  <si>
    <t>This indicator seeks to identify people who may be at risk of a poor diet and nutrition due to their financial incapacity to purchase food, as well as a risk of social exclusion</t>
  </si>
  <si>
    <t>Communtiy Indicators Victoria</t>
  </si>
  <si>
    <t xml:space="preserve">HS - Food security - percentage of adult population who ran out of food in the last 12 months and could not afford to buy more </t>
  </si>
  <si>
    <t xml:space="preserve">VicHealth Survey/Community Indictors Victoria </t>
  </si>
  <si>
    <t xml:space="preserve">HS - Adequate work-life balance - Percentage of employed persons who agree that their work and familylife do not often interfere with each other </t>
  </si>
  <si>
    <t>DI - People who participated in arts and cultural activities in the last month, expressed as a percentage of the adult population</t>
  </si>
  <si>
    <t>Most types of arts involvement have a social dimension that is an important basis for building social capital and community identity. The arts, through their communicative power, enhance individual engagement wit hthe world in ways that have both personal and public benefits</t>
  </si>
  <si>
    <t>Communtiy Indicators Victoria Survey</t>
  </si>
  <si>
    <t>VicHealth Survey/Community Indictors Victoria Survey</t>
  </si>
  <si>
    <t>DI - People who agree that it is a good thing for a society to be made up of people from different cultures, expressed as percentage of the adult population</t>
  </si>
  <si>
    <t>Community Indicators Victoria Survey</t>
  </si>
  <si>
    <t>MV2040 Targets</t>
  </si>
  <si>
    <t>SD1 -Increase in rates of acceptance and celebration of cultural diversity</t>
  </si>
  <si>
    <t>SD1 -Increase in rates of acceptance and celebration of cultural diversity
SD1 - Increase in proportion of people who agree/understand of Aboriginal and Torres Strait Islander</t>
  </si>
  <si>
    <t xml:space="preserve">SD3-Improve mental wellbeing levels across our community </t>
  </si>
  <si>
    <t>SD3-Reduce diabetes (halt the rise) and the rate of obesity (5% by 2025)</t>
  </si>
  <si>
    <t>BE - On time  high school graduation rate (90% target in line with Germany, Japan and Norway)</t>
  </si>
  <si>
    <t>SD7 - A greater percentage of our community working within MV to be proximate to their homes</t>
  </si>
  <si>
    <t>SD7 - Thriving activity centres with low vacancy rates</t>
  </si>
  <si>
    <t>SD8- Increase in the number and frequency of neighbourhood events organised and operated by community members</t>
  </si>
  <si>
    <t>SD10- Improved accessibility to PT in each neighbourhood</t>
  </si>
  <si>
    <t>MV2040 Target/Indicator - improved accessibility measured by *number of people walking for short trips, *number of locals using PT, *number of people cycling, *investment improvements to PT</t>
  </si>
  <si>
    <t>SD13 - Achieve zero net emissions for the community by 2040
Achieve zero net emissions for Council's operations by 2020 and cont to reduce corp emissions by more than 95% by 2040</t>
  </si>
  <si>
    <t>SD20- All residents and workers are within an average 500m walking distance to quality open space by 2040</t>
  </si>
  <si>
    <t>HS - Total alcohol per capital (age 15+ years) consumption</t>
  </si>
  <si>
    <t>HS - Tobacco use among person aged 18+ years</t>
  </si>
  <si>
    <t>HS - Children aged under 5 years who are overweight</t>
  </si>
  <si>
    <t>HS - Raised blood pressure among adults, raised blood glucose/diabetes among adults</t>
  </si>
  <si>
    <t>HS - (access) service utlisation, health service access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</si>
  <si>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</si>
  <si>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</si>
  <si>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</si>
  <si>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</si>
  <si>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</si>
  <si>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</si>
  <si>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</si>
  <si>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</si>
  <si>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</si>
  <si>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</si>
  <si>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</si>
  <si>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</si>
  <si>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</si>
  <si>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SD5 - Accommodate for housing diversity…</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</si>
  <si>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</si>
  <si>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</si>
  <si>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</si>
  <si>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</si>
  <si>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</si>
  <si>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</si>
  <si>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</si>
  <si>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</si>
  <si>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</si>
  <si>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</si>
  <si>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</si>
  <si>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</si>
  <si>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</si>
  <si>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</si>
  <si>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</si>
  <si>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</si>
  <si>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</si>
  <si>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</si>
  <si>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</si>
  <si>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</si>
  <si>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</si>
  <si>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</si>
  <si>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</si>
  <si>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</si>
  <si>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</si>
  <si>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</si>
  <si>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</si>
  <si>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</si>
  <si>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</si>
  <si>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</si>
  <si>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</si>
  <si>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</si>
  <si>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</si>
  <si>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</si>
  <si>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</si>
  <si>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</si>
  <si>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</si>
  <si>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</si>
  <si>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</si>
  <si>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</si>
  <si>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</si>
  <si>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</si>
  <si>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</si>
  <si>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</si>
  <si>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</si>
  <si>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</si>
  <si>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</si>
  <si>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</si>
  <si>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</si>
  <si>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</si>
  <si>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</si>
  <si>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</si>
  <si>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</si>
  <si>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</si>
  <si>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</si>
  <si>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</si>
  <si>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</si>
  <si>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 xml:space="preserve">Measure of success </t>
  </si>
  <si>
    <t xml:space="preserve">Diverse and inclusive </t>
  </si>
  <si>
    <t xml:space="preserve">Engaged citizens </t>
  </si>
  <si>
    <t xml:space="preserve">Affordable housing </t>
  </si>
  <si>
    <t xml:space="preserve">Employment and learning opportunities </t>
  </si>
  <si>
    <t>Growing business</t>
  </si>
  <si>
    <t xml:space="preserve">Active transport </t>
  </si>
  <si>
    <t xml:space="preserve">Reduced carbon emissions </t>
  </si>
  <si>
    <t>Water sensitive</t>
  </si>
  <si>
    <t>Reduced waste</t>
  </si>
  <si>
    <t>Beautiful spaces</t>
  </si>
  <si>
    <t>People are engaged</t>
  </si>
  <si>
    <t>People travel sustainably</t>
  </si>
  <si>
    <t xml:space="preserve">20-minute neighbourhoods </t>
  </si>
  <si>
    <t xml:space="preserve">How do we frame? </t>
  </si>
  <si>
    <t>Healthy and safe</t>
  </si>
  <si>
    <t xml:space="preserve">Employment and learning </t>
  </si>
  <si>
    <t>Services that meet needs</t>
  </si>
  <si>
    <t>Active and sustainable transport</t>
  </si>
  <si>
    <t xml:space="preserve">Carbon emissions </t>
  </si>
  <si>
    <t>Waste</t>
  </si>
  <si>
    <t xml:space="preserve">Parks and gardens </t>
  </si>
  <si>
    <t>Goal statement</t>
  </si>
  <si>
    <t xml:space="preserve">People are healthy and safe </t>
  </si>
  <si>
    <t>Welcoming and inclusive</t>
  </si>
  <si>
    <t xml:space="preserve">Services and facilities meet local needs </t>
  </si>
  <si>
    <t xml:space="preserve">People walk and cycle </t>
  </si>
  <si>
    <t>Beautiful neighbourhoods</t>
  </si>
  <si>
    <t>Getting around is easy</t>
  </si>
  <si>
    <t>Year of baseline</t>
  </si>
  <si>
    <t>Result</t>
  </si>
  <si>
    <t>Level of progress towards zero trauma vision and prioritising the safe systems approach</t>
  </si>
  <si>
    <t>Housing</t>
  </si>
  <si>
    <t>Transport technology</t>
  </si>
  <si>
    <t xml:space="preserve">Climate resilience </t>
  </si>
  <si>
    <t xml:space="preserve">Public space </t>
  </si>
  <si>
    <t>Heritage</t>
  </si>
  <si>
    <t xml:space="preserve">Business and technology </t>
  </si>
  <si>
    <t>Potential measures of success statement</t>
  </si>
  <si>
    <t>Origin</t>
  </si>
  <si>
    <t xml:space="preserve">Corina's spreadsheet </t>
  </si>
  <si>
    <t xml:space="preserve">Tim's Framework </t>
  </si>
  <si>
    <t>Crime rates, including Family Violence reporting (source:Police)</t>
  </si>
  <si>
    <r>
      <t># community based activities and events (source: Neighbourhood Coordination dashboard) (Diana Amato</t>
    </r>
    <r>
      <rPr>
        <sz val="8"/>
        <color theme="1"/>
        <rFont val="Calibri"/>
        <family val="2"/>
        <scheme val="minor"/>
      </rPr>
      <t> </t>
    </r>
    <r>
      <rPr>
        <sz val="11"/>
        <color theme="1"/>
        <rFont val="Calibri"/>
        <family val="2"/>
        <scheme val="minor"/>
      </rPr>
      <t>)</t>
    </r>
  </si>
  <si>
    <r>
      <t>Application of Australian building standards for access and mobility (Venta feedback</t>
    </r>
    <r>
      <rPr>
        <sz val="8"/>
        <color theme="1"/>
        <rFont val="Calibri"/>
        <family val="2"/>
        <scheme val="minor"/>
      </rPr>
      <t> </t>
    </r>
    <r>
      <rPr>
        <sz val="11"/>
        <color theme="1"/>
        <rFont val="Calibri"/>
        <family val="2"/>
        <scheme val="minor"/>
      </rPr>
      <t>)</t>
    </r>
  </si>
  <si>
    <r>
      <t>Use of ‘age friendly’ streetscape principles</t>
    </r>
    <r>
      <rPr>
        <sz val="8"/>
        <color theme="1"/>
        <rFont val="Calibri"/>
        <family val="2"/>
        <scheme val="minor"/>
      </rPr>
      <t> </t>
    </r>
    <r>
      <rPr>
        <sz val="11"/>
        <color theme="1"/>
        <rFont val="Calibri"/>
        <family val="2"/>
        <scheme val="minor"/>
      </rPr>
      <t xml:space="preserve"> (Venta? – not too sure but can’t think who else it would have been)</t>
    </r>
  </si>
  <si>
    <r>
      <t> </t>
    </r>
    <r>
      <rPr>
        <sz val="10"/>
        <color theme="1"/>
        <rFont val="Calibri"/>
        <family val="2"/>
        <scheme val="minor"/>
      </rPr>
      <t>Perhaps Valley View is a better source for this?</t>
    </r>
  </si>
  <si>
    <r>
      <t> </t>
    </r>
    <r>
      <rPr>
        <sz val="10"/>
        <color theme="1"/>
        <rFont val="Calibri"/>
        <family val="2"/>
        <scheme val="minor"/>
      </rPr>
      <t>Number of pojects/all projects?</t>
    </r>
  </si>
  <si>
    <r>
      <t> </t>
    </r>
    <r>
      <rPr>
        <sz val="10"/>
        <color theme="1"/>
        <rFont val="Calibri"/>
        <family val="2"/>
        <scheme val="minor"/>
      </rPr>
      <t>Is this around the amount (sqm) of ‘age friendly’ streetscape? The number of projects?</t>
    </r>
  </si>
  <si>
    <t>Cooperation with Wurundjeri Elders (Juliane Reissle re 1.1 and mentions data is from Jorene))</t>
  </si>
  <si>
    <t xml:space="preserve"># of referrals to Council services, per service type (Juliane Reissle feedback on action 2.1.1) </t>
  </si>
  <si>
    <t>Participation rate per service type (my own, knowing it would be available)</t>
  </si>
  <si>
    <t xml:space="preserve">Council program evaluations and consultations (Juliane Reissle re evaluations for programs etc see feedback on 2.1.1) </t>
  </si>
  <si>
    <t>Program evaluations, such as Healthy Ageing Ambassadors evaluation</t>
  </si>
  <si>
    <t>Healthy Ageing Reference Group minutes (Juliane Reissle re 4.2.2)</t>
  </si>
  <si>
    <t>Active Ageing Reference Group minutes(Juliane Reissle re 4.2.2)</t>
  </si>
  <si>
    <t>Rainbow Tick Continuous Improvement plan(Juliane Reissle re 4.1.2)</t>
  </si>
  <si>
    <t>Disability advisory committee (survey) (Jasmine Graham feedback, given through Luke Naimo email)</t>
  </si>
  <si>
    <t>Dementia-friendly communities project reports (Juliane Reissle)</t>
  </si>
  <si>
    <t># of Mental health first aid trainings delivered (Juliane Reissle feedback)</t>
  </si>
  <si>
    <t>Mental health champions program(Juliane Reissle feedback)</t>
  </si>
  <si>
    <t>Council Local laws data (my own based on responding to data required to evidence actions)</t>
  </si>
  <si>
    <r>
      <t>Your Say online engagement portal (Diana Amato</t>
    </r>
    <r>
      <rPr>
        <sz val="8"/>
        <color theme="1"/>
        <rFont val="Calibri"/>
        <family val="2"/>
        <scheme val="minor"/>
      </rPr>
      <t> </t>
    </r>
    <r>
      <rPr>
        <sz val="11"/>
        <color rgb="FF000000"/>
        <rFont val="Calibri"/>
        <family val="2"/>
        <scheme val="minor"/>
      </rPr>
      <t>)</t>
    </r>
  </si>
  <si>
    <t>LBTIQ engagement (source: Rainbow Tick Continuous Improvement plan)</t>
  </si>
  <si>
    <t>Community Engagement Framework (Julianne Reissle feedback on action 4.1.1)</t>
  </si>
  <si>
    <t>Neighbourhood Empowerment Framework* - Local Government Act stipulation that Councils have a community engagement framework (Diana Amato)</t>
  </si>
  <si>
    <t>Healthy Ageing Ambassadors Project (Julianne Reissle)</t>
  </si>
  <si>
    <t>Women’s Leadership Program – Stepping Stones program data (Malcolm from eco dev feedback)</t>
  </si>
  <si>
    <t>Council facilitated community reference groups – minutes and plans (e.g. see Julianne Reissle feedback on action 4.1. and mentions Active Ageing Reference group)</t>
  </si>
  <si>
    <t>Neighbourhood Advisory Committees (Diana Amato)</t>
  </si>
  <si>
    <r>
      <t>Community involvement in the Council Plan and budget</t>
    </r>
    <r>
      <rPr>
        <sz val="8"/>
        <color theme="1"/>
        <rFont val="Calibri"/>
        <family val="2"/>
        <scheme val="minor"/>
      </rPr>
      <t> </t>
    </r>
  </si>
  <si>
    <r>
      <t> </t>
    </r>
    <r>
      <rPr>
        <sz val="10"/>
        <color theme="1"/>
        <rFont val="Calibri"/>
        <family val="2"/>
        <scheme val="minor"/>
      </rPr>
      <t xml:space="preserve"> Number of people participating?</t>
    </r>
  </si>
  <si>
    <r>
      <t> </t>
    </r>
    <r>
      <rPr>
        <sz val="10"/>
        <color theme="1"/>
        <rFont val="Calibri"/>
        <family val="2"/>
        <scheme val="minor"/>
      </rPr>
      <t>As will be required under the new local government act</t>
    </r>
  </si>
  <si>
    <t>Disaggregated consultation and engagement data, for example:    Number of cultural consultants employed to deliver community engagement activities (Flemington works) (source: Lauren Kerr)
  Qualitative data collected from co-design approaches with young people and women (Flemington works) (source: Lauren Kerr)</t>
  </si>
  <si>
    <r>
      <t>Number of affordable rentals (based on figures from the DHHS Rental Report – released quarterly</t>
    </r>
    <r>
      <rPr>
        <sz val="8"/>
        <color theme="1"/>
        <rFont val="Calibri"/>
        <family val="2"/>
        <scheme val="minor"/>
      </rPr>
      <t> </t>
    </r>
    <r>
      <rPr>
        <sz val="11"/>
        <color theme="1"/>
        <rFont val="Calibri"/>
        <family val="2"/>
        <scheme val="minor"/>
      </rPr>
      <t>)</t>
    </r>
  </si>
  <si>
    <r>
      <t> </t>
    </r>
    <r>
      <rPr>
        <sz val="10"/>
        <color theme="1"/>
        <rFont val="Calibri"/>
        <family val="2"/>
        <scheme val="minor"/>
      </rPr>
      <t>Or percentage of rentals advertised that are affordable from the same source</t>
    </r>
  </si>
  <si>
    <t>Homelessness roundtable minutes and plans (Juliane Reissle re 5.3.5 and mentions contact for more info as Luke Naimo)</t>
  </si>
  <si>
    <t>Availability of public, social and community housing (my own based on action area)</t>
  </si>
  <si>
    <t>Waiting lists for public, social and community housing (my own based on action area)</t>
  </si>
  <si>
    <r>
      <t>Flemington Education plan data</t>
    </r>
    <r>
      <rPr>
        <u/>
        <sz val="11"/>
        <color rgb="FF008080"/>
        <rFont val="Calibri"/>
        <family val="2"/>
        <scheme val="minor"/>
      </rPr>
      <t xml:space="preserve"> (Diana Amato mentions Kate is involved in this)</t>
    </r>
  </si>
  <si>
    <r>
      <t>Children and Family services 3-4 kindergarten data</t>
    </r>
    <r>
      <rPr>
        <u/>
        <sz val="11"/>
        <color rgb="FF008080"/>
        <rFont val="Calibri"/>
        <family val="2"/>
        <scheme val="minor"/>
      </rPr>
      <t xml:space="preserve"> (As above relates to Diana’s feedback that the education plan team might have data to share)</t>
    </r>
    <r>
      <rPr>
        <strike/>
        <sz val="11"/>
        <color rgb="FFFF0000"/>
        <rFont val="Calibri"/>
        <family val="2"/>
        <scheme val="minor"/>
      </rPr>
      <t xml:space="preserve"> </t>
    </r>
  </si>
  <si>
    <t>Community Connectors project evaluation</t>
  </si>
  <si>
    <r>
      <t xml:space="preserve">Number/description - of education facilities being built or repurposed </t>
    </r>
    <r>
      <rPr>
        <u/>
        <sz val="11"/>
        <color rgb="FF008080"/>
        <rFont val="Calibri"/>
        <family val="2"/>
        <scheme val="minor"/>
      </rPr>
      <t>(Will –community facilities feedback)</t>
    </r>
  </si>
  <si>
    <r>
      <t> </t>
    </r>
    <r>
      <rPr>
        <sz val="10"/>
        <color theme="1"/>
        <rFont val="Calibri"/>
        <family val="2"/>
        <scheme val="minor"/>
      </rPr>
      <t>As in the number of schools that we are advocating for? I don’t recall discussing this. Is this someone else?</t>
    </r>
  </si>
  <si>
    <t>Crown St/Clocktower trainee program data (Jasmine Graham feedback, through email from Luke Naimo)</t>
  </si>
  <si>
    <t>Flemington works data – occupation type/employer type - for women and young people who have secured roles through Flemington Works. (source: Lauren Kerr)</t>
  </si>
  <si>
    <t>Number of employment outcomes/ hours worked - through MVCC Labour Hire (source: Lauren Kerr)</t>
  </si>
  <si>
    <t>Number of paid internships delivered/ hours worked (Lauren Kerr)</t>
  </si>
  <si>
    <t>Number of Council contracts with social impact recruitment targets (Lauren Kerr)</t>
  </si>
  <si>
    <t>Number of residents (e.g. living in social housing) employed/hours worked through social procurement targets (Lauren Kerr)</t>
  </si>
  <si>
    <t>Number of work placements in Council by local residents (perhaps young residents, perhaps number of days) per year</t>
  </si>
  <si>
    <t>Activation planning surveys</t>
  </si>
  <si>
    <t>Trader association meeting minutes</t>
  </si>
  <si>
    <t xml:space="preserve">Trader association business plans </t>
  </si>
  <si>
    <t>Economic Development events, training and coaching – attendance and evaluation</t>
  </si>
  <si>
    <t># new enterprises established</t>
  </si>
  <si>
    <t>Co-working space utilisation data</t>
  </si>
  <si>
    <t>Number/sqm of multi-purpose spaces available  for community arts practice and exhibitions (relates to Will community facilities feedback – 8.3.1 &amp; 8.3.2)</t>
  </si>
  <si>
    <t>Number of arts activities that take place across each neighbourhood (my own basic measure based on the type of actions listed)</t>
  </si>
  <si>
    <t>Attendance at events (counts using sensors in smart infrastructure) – currently we have estimates</t>
  </si>
  <si>
    <r>
      <t>Number of unique uses/sports per Council facility</t>
    </r>
    <r>
      <rPr>
        <sz val="8"/>
        <color theme="1"/>
        <rFont val="Calibri"/>
        <family val="2"/>
        <scheme val="minor"/>
      </rPr>
      <t> </t>
    </r>
  </si>
  <si>
    <r>
      <t>Description of economic and social impact of Moonee Valley Racecourse, including jobs figures and number of events</t>
    </r>
    <r>
      <rPr>
        <sz val="8"/>
        <color theme="1"/>
        <rFont val="Calibri"/>
        <family val="2"/>
        <scheme val="minor"/>
      </rPr>
      <t> </t>
    </r>
    <r>
      <rPr>
        <sz val="11"/>
        <color theme="1"/>
        <rFont val="Calibri"/>
        <family val="2"/>
        <scheme val="minor"/>
      </rPr>
      <t>. (Malcolm eco dev)</t>
    </r>
  </si>
  <si>
    <t>Sports participation data based on information collected by Activations, Sport and Recreation</t>
  </si>
  <si>
    <r>
      <t> </t>
    </r>
    <r>
      <rPr>
        <sz val="10"/>
        <color theme="1"/>
        <rFont val="Calibri"/>
        <family val="2"/>
        <scheme val="minor"/>
      </rPr>
      <t>A mean or median across all facilities? Separation based on the type of facilities? The uses would need to be defined.</t>
    </r>
  </si>
  <si>
    <r>
      <t> </t>
    </r>
    <r>
      <rPr>
        <sz val="10"/>
        <color theme="1"/>
        <rFont val="Calibri"/>
        <family val="2"/>
        <scheme val="minor"/>
      </rPr>
      <t>Maybe we could get Spendmapp and track spending at events and compare this to spending in general?</t>
    </r>
  </si>
  <si>
    <t>Number of activity centres with public wi-fi (Will – community infrastructure feedback)</t>
  </si>
  <si>
    <t>$ invested to realise smart city objectives (Will – community infrastructure feedback)</t>
  </si>
  <si>
    <t xml:space="preserve">Number of suburbs with NBN take-up </t>
  </si>
  <si>
    <t>Description of infrastructure upgrades that promote sustainable transport use</t>
  </si>
  <si>
    <t>Public Transport Advocacy: data source - Council Advocacy Strategy</t>
  </si>
  <si>
    <t>Description of Council advocacy to improve Disability Discrimination Act (DDA) compliant public transport e.g. accessible tram stops</t>
  </si>
  <si>
    <r>
      <t>Proportion of public transport services that are frequent</t>
    </r>
    <r>
      <rPr>
        <sz val="8"/>
        <color theme="1"/>
        <rFont val="Calibri"/>
        <family val="2"/>
        <scheme val="minor"/>
      </rPr>
      <t> </t>
    </r>
  </si>
  <si>
    <t xml:space="preserve">Using liveability indicators definition </t>
  </si>
  <si>
    <t>Number and description of designated MV2040 walking and cycling infrastructure projects</t>
  </si>
  <si>
    <t>We could install some bike counters (some other councils have them) to count how many bikes have used particular sections of track</t>
  </si>
  <si>
    <r>
      <t>Number and description of road reviews and speeds dropped below the default speed limit of 50km/h</t>
    </r>
    <r>
      <rPr>
        <sz val="8"/>
        <color theme="1"/>
        <rFont val="Calibri"/>
        <family val="2"/>
        <scheme val="minor"/>
      </rPr>
      <t> </t>
    </r>
    <r>
      <rPr>
        <sz val="11"/>
        <color theme="1"/>
        <rFont val="Calibri"/>
        <family val="2"/>
        <scheme val="minor"/>
      </rPr>
      <t xml:space="preserve">. </t>
    </r>
  </si>
  <si>
    <t>Number and description of investigations and implementation of a lower speed limits (30km/h) in activity areas.</t>
  </si>
  <si>
    <t xml:space="preserve">Road casualty data </t>
  </si>
  <si>
    <t>Other data sources: Road Safety Strategy</t>
  </si>
  <si>
    <r>
      <t> </t>
    </r>
    <r>
      <rPr>
        <sz val="10"/>
        <color theme="1"/>
        <rFont val="Calibri"/>
        <family val="2"/>
        <scheme val="minor"/>
      </rPr>
      <t>Is this more around the km of roads?</t>
    </r>
  </si>
  <si>
    <t>Description of future proofing activities to accommodate emerging technologies e.g. car parks designed for retrofitting of electric vehicle charging stations.</t>
  </si>
  <si>
    <t>Outcomes from new parking technology testing throughout municipality.</t>
  </si>
  <si>
    <r>
      <t>Council’s carbon inventory - reported annually</t>
    </r>
    <r>
      <rPr>
        <u/>
        <sz val="11"/>
        <color rgb="FF008080"/>
        <rFont val="Calibri"/>
        <family val="2"/>
        <scheme val="minor"/>
      </rPr>
      <t xml:space="preserve"> (Sarah Wigley)</t>
    </r>
  </si>
  <si>
    <r>
      <t xml:space="preserve">% of efficient street lighting upgraded/installed </t>
    </r>
    <r>
      <rPr>
        <u/>
        <sz val="11"/>
        <color rgb="FF008080"/>
        <rFont val="Calibri"/>
        <family val="2"/>
        <scheme val="minor"/>
      </rPr>
      <t>(Will – community infrastructure feedback)</t>
    </r>
  </si>
  <si>
    <r>
      <t>Staff travel – internal records.</t>
    </r>
    <r>
      <rPr>
        <u/>
        <sz val="11"/>
        <color rgb="FF008080"/>
        <rFont val="Calibri"/>
        <family val="2"/>
        <scheme val="minor"/>
      </rPr>
      <t xml:space="preserve"> (Sarah Wigley)</t>
    </r>
  </si>
  <si>
    <r>
      <t>Office paper usage – Council photocopiers monitoring software.</t>
    </r>
    <r>
      <rPr>
        <u/>
        <sz val="11"/>
        <color rgb="FF008080"/>
        <rFont val="Calibri"/>
        <family val="2"/>
        <scheme val="minor"/>
      </rPr>
      <t xml:space="preserve"> (Sarah Wigley)</t>
    </r>
  </si>
  <si>
    <r>
      <t>Number and description of new Council buildings designed and reviewed for ESD and adhering to Council’s Sustainable Buildings and Facilities Guideline.</t>
    </r>
    <r>
      <rPr>
        <u/>
        <sz val="11"/>
        <color rgb="FF008080"/>
        <rFont val="Calibri"/>
        <family val="2"/>
        <scheme val="minor"/>
      </rPr>
      <t xml:space="preserve"> (Sarah Wigley)</t>
    </r>
  </si>
  <si>
    <r>
      <t xml:space="preserve">Number and description Current Council buildings measured for ESD performance and rectification measures implemented. </t>
    </r>
    <r>
      <rPr>
        <u/>
        <sz val="11"/>
        <color rgb="FF008080"/>
        <rFont val="Calibri"/>
        <family val="2"/>
        <scheme val="minor"/>
      </rPr>
      <t>(Sarah Wigley)</t>
    </r>
  </si>
  <si>
    <t># water sensitive treatments applied in road infrastructure (Venta)</t>
  </si>
  <si>
    <t>Stormwater harvesting and reuse targets (wetland designs within open space) (Venta)</t>
  </si>
  <si>
    <t>Number/sqm of community gardens (Will – Community infrastructure focus)</t>
  </si>
  <si>
    <t>Walter St reserve: informal growing trial site (Venta feedback)</t>
  </si>
  <si>
    <t>Crown St Stables - community feedback (Juliane Reissle re 14.5)</t>
  </si>
  <si>
    <t>Sqm of community managed urban agriculture – including planter boxes (Will – Community infrastructure focus)</t>
  </si>
  <si>
    <r>
      <t># “How to prepare in extreme weather” brochures sent out</t>
    </r>
    <r>
      <rPr>
        <u/>
        <sz val="11"/>
        <color rgb="FF008080"/>
        <rFont val="Calibri"/>
        <family val="2"/>
        <scheme val="minor"/>
      </rPr>
      <t>(Juliane Reissle re 16.3)</t>
    </r>
  </si>
  <si>
    <r>
      <t># welfare checks undertaken due to extreme weather</t>
    </r>
    <r>
      <rPr>
        <u/>
        <sz val="11"/>
        <color rgb="FF008080"/>
        <rFont val="Calibri"/>
        <family val="2"/>
        <scheme val="minor"/>
      </rPr>
      <t xml:space="preserve"> (Juliane Reissle re 16.3)</t>
    </r>
  </si>
  <si>
    <r>
      <t>Description/number - of new or repurposed facilities applying design panel/external design expertise to inform space</t>
    </r>
    <r>
      <rPr>
        <u/>
        <sz val="11"/>
        <color rgb="FF008080"/>
        <rFont val="Calibri"/>
        <family val="2"/>
        <scheme val="minor"/>
      </rPr>
      <t xml:space="preserve"> (ER &amp; William – community facilities feedback on 16.1.14) </t>
    </r>
  </si>
  <si>
    <r>
      <t>Number of buildings designed to be habitable when the power is off.</t>
    </r>
    <r>
      <rPr>
        <u/>
        <sz val="11"/>
        <color rgb="FF008080"/>
        <rFont val="Calibri"/>
        <family val="2"/>
        <scheme val="minor"/>
      </rPr>
      <t xml:space="preserve"> (Sarah Wigley)</t>
    </r>
  </si>
  <si>
    <r>
      <t xml:space="preserve">Solar reflective roof coatings installed on community buildings. </t>
    </r>
    <r>
      <rPr>
        <u/>
        <sz val="11"/>
        <color rgb="FF008080"/>
        <rFont val="Calibri"/>
        <family val="2"/>
        <scheme val="minor"/>
      </rPr>
      <t>(might have been from a draft action plan in Sarah’s area I think – could ask her. Its specific so its from a council source, but can’t recall which one)</t>
    </r>
  </si>
  <si>
    <t>Sqm of bioswales/raingardens or other WSUD features. Maybe something around the amount of water diverted from stormwater drains via WSUD features if that is something that can be measured</t>
  </si>
  <si>
    <t>Description of outcomes achieved through meetings with Wurundjeri Council (Diana Amato mentions Sam Buckley meets with Wurundjeri Council)</t>
  </si>
  <si>
    <t>Number of cultural consultations conducted per calendar year (Diana Amato, as above)</t>
  </si>
  <si>
    <r>
      <t xml:space="preserve">Number of </t>
    </r>
    <r>
      <rPr>
        <sz val="11"/>
        <color theme="1"/>
        <rFont val="Calibri"/>
        <family val="2"/>
        <scheme val="minor"/>
      </rPr>
      <t>Woi-wurrung language signs across Moonee Valley’s, open spaces and parkland (Will – community infrastructure feedback</t>
    </r>
    <r>
      <rPr>
        <sz val="8"/>
        <color theme="1"/>
        <rFont val="Calibri"/>
        <family val="2"/>
        <scheme val="minor"/>
      </rPr>
      <t> </t>
    </r>
    <r>
      <rPr>
        <sz val="11"/>
        <color theme="1"/>
        <rFont val="Calibri"/>
        <family val="2"/>
        <scheme val="minor"/>
      </rPr>
      <t>)</t>
    </r>
  </si>
  <si>
    <r>
      <t> </t>
    </r>
    <r>
      <rPr>
        <sz val="10"/>
        <color theme="1"/>
        <rFont val="Calibri"/>
        <family val="2"/>
        <scheme val="minor"/>
      </rPr>
      <t>Should this be more around the hectares of land protected?</t>
    </r>
  </si>
  <si>
    <t>% of gross area that is parkland</t>
  </si>
  <si>
    <t>I imagine that this would be at a neighbourhood or municipal level.</t>
  </si>
  <si>
    <t xml:space="preserve">Water sensitive </t>
  </si>
  <si>
    <t xml:space="preserve">Indicators from Tim's draft </t>
  </si>
  <si>
    <t>Level of social inclusion</t>
  </si>
  <si>
    <r>
      <t xml:space="preserve">Engagement with Aboriginal and Torres Strait Islander peoples </t>
    </r>
    <r>
      <rPr>
        <sz val="8"/>
        <color theme="1"/>
        <rFont val="Calibri"/>
        <family val="2"/>
        <scheme val="minor"/>
      </rPr>
      <t> </t>
    </r>
  </si>
  <si>
    <t xml:space="preserve">Accessibility of Council services and facilities </t>
  </si>
  <si>
    <t>Satisfaction with Council services and facilities</t>
  </si>
  <si>
    <t>Perceptions of safety</t>
  </si>
  <si>
    <t>Level of crime</t>
  </si>
  <si>
    <t>Level of resident consultation and engagement</t>
  </si>
  <si>
    <t>Access to diverse and affordable housing</t>
  </si>
  <si>
    <t>Level of homelessness</t>
  </si>
  <si>
    <t>Use of new technology and data sharing to improve outcomes for residents and business</t>
  </si>
  <si>
    <t>Increase in travel to work by walking, cycling or public transport</t>
  </si>
  <si>
    <t>Coordinated planning of pedestrian and cycling infrastructure</t>
  </si>
  <si>
    <t xml:space="preserve">Use of technology to improve transport connectivity </t>
  </si>
  <si>
    <r>
      <rPr>
        <sz val="7"/>
        <color theme="1"/>
        <rFont val="Times New Roman"/>
        <family val="1"/>
      </rPr>
      <t xml:space="preserve"> </t>
    </r>
    <r>
      <rPr>
        <sz val="11"/>
        <color theme="1"/>
        <rFont val="Calibri"/>
        <family val="2"/>
        <scheme val="minor"/>
      </rPr>
      <t>Participation in sports and leisure activity</t>
    </r>
  </si>
  <si>
    <t>Decrease in net carbon emissions</t>
  </si>
  <si>
    <t>Increase in canopy cover</t>
  </si>
  <si>
    <t>Extent of water capture and reuse</t>
  </si>
  <si>
    <t>Waste diverted from landfill</t>
  </si>
  <si>
    <t>Community environmental engagement</t>
  </si>
  <si>
    <t>Climate adaptations made to the built environment</t>
  </si>
  <si>
    <t>Promotion and protection of culturally significant areas for Wurundjeri people.</t>
  </si>
  <si>
    <t>Protection and celebration of areas with Heritage significance and neighbourhood identity</t>
  </si>
  <si>
    <t xml:space="preserve">Implementation of design standards </t>
  </si>
  <si>
    <t>Diversity of public spaces and their usage</t>
  </si>
  <si>
    <t xml:space="preserve">Connectivity and usage of open spaces </t>
  </si>
  <si>
    <t xml:space="preserve">Population health </t>
  </si>
  <si>
    <r>
      <t>Safety of</t>
    </r>
    <r>
      <rPr>
        <sz val="11"/>
        <color rgb="FF000000"/>
        <rFont val="Calibri"/>
        <family val="2"/>
        <scheme val="minor"/>
      </rPr>
      <t xml:space="preserve"> pedestrians and cyclists</t>
    </r>
  </si>
  <si>
    <r>
      <t xml:space="preserve">% of suburbs by % Mesh Block / Actual parkland </t>
    </r>
    <r>
      <rPr>
        <sz val="8"/>
        <color theme="1"/>
        <rFont val="Calibri"/>
        <family val="2"/>
        <scheme val="minor"/>
      </rPr>
      <t> </t>
    </r>
  </si>
  <si>
    <r>
      <t> </t>
    </r>
    <r>
      <rPr>
        <sz val="10"/>
        <color theme="1"/>
        <rFont val="Calibri"/>
        <family val="2"/>
        <scheme val="minor"/>
      </rPr>
      <t xml:space="preserve"> The definition of this would be defined in the updated Open Space Strategy (or whatever it will be called)</t>
    </r>
  </si>
  <si>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</si>
  <si>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</si>
  <si>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</si>
  <si>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</si>
  <si>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</si>
  <si>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</si>
  <si>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</si>
  <si>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</si>
  <si>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</si>
  <si>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</si>
  <si>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</si>
  <si>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</si>
  <si>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</si>
  <si>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</si>
  <si>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</si>
  <si>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</si>
  <si>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</si>
  <si>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</si>
  <si>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</si>
  <si>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</si>
  <si>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</si>
  <si>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</si>
  <si>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</si>
  <si>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</si>
  <si>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</si>
  <si>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</si>
  <si>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</si>
  <si>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</si>
  <si>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</si>
  <si>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</si>
  <si>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</si>
  <si>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</si>
  <si>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</si>
  <si>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</si>
  <si>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</si>
  <si>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</si>
  <si>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</si>
  <si>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</si>
  <si>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</si>
  <si>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</si>
  <si>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</si>
  <si>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</si>
  <si>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</si>
  <si>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</si>
  <si>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</si>
  <si>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</si>
  <si>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</si>
  <si>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</si>
  <si>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</si>
  <si>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</si>
  <si>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</si>
  <si>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</si>
  <si>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</si>
  <si>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</si>
  <si>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</si>
  <si>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</si>
  <si>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</si>
  <si>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</si>
  <si>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</si>
  <si>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</si>
  <si>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</si>
  <si>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</si>
  <si>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</si>
  <si>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</si>
  <si>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</si>
  <si>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</si>
  <si>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</si>
  <si>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</si>
  <si>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</si>
  <si>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</si>
  <si>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</si>
  <si>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</si>
  <si>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</si>
  <si>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</si>
  <si>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</si>
  <si>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</si>
  <si>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</si>
  <si>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</si>
  <si>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</si>
  <si>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</si>
  <si>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</si>
  <si>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</si>
  <si>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</si>
  <si>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</si>
  <si>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</si>
  <si>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</si>
  <si>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</si>
  <si>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</si>
  <si>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</si>
  <si>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</si>
  <si>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</si>
  <si>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</si>
  <si>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</si>
  <si>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</si>
  <si>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</si>
  <si>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</si>
  <si>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</si>
  <si>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</si>
  <si>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</si>
  <si>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</si>
  <si>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</si>
  <si>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</si>
  <si>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</si>
  <si>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</si>
  <si>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</si>
  <si>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</si>
  <si>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</si>
  <si>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</si>
  <si>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</si>
  <si>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</si>
  <si>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</si>
  <si>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</si>
  <si>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</si>
  <si>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</si>
  <si>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</si>
  <si>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</si>
  <si>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</si>
  <si>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</si>
  <si>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</si>
  <si>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</si>
  <si>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</si>
  <si>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</si>
  <si>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</si>
  <si>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</si>
  <si>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</si>
  <si>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</si>
  <si>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</si>
  <si>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</si>
  <si>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</si>
  <si>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</si>
  <si>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</si>
  <si>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</si>
  <si>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</si>
  <si>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</si>
  <si>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</si>
  <si>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</si>
  <si>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</si>
  <si>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</si>
  <si>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</si>
  <si>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</si>
  <si>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</si>
  <si>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</si>
  <si>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</si>
  <si>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</si>
  <si>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</si>
  <si>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</si>
  <si>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</si>
  <si>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</si>
  <si>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</si>
  <si>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</si>
  <si>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</si>
  <si>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</si>
  <si>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</si>
  <si>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</si>
  <si>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</si>
  <si>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</si>
  <si>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</si>
  <si>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</si>
  <si>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</si>
  <si>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</si>
  <si>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</si>
  <si>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</si>
  <si>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</si>
  <si>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</si>
  <si>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</si>
  <si>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</si>
  <si>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</si>
  <si>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</si>
  <si>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</si>
  <si>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</si>
  <si>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</si>
  <si>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</si>
  <si>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</si>
  <si>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</si>
  <si>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</si>
  <si>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</si>
  <si>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</si>
  <si>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</si>
  <si>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</si>
  <si>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</si>
  <si>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</si>
  <si>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</si>
  <si>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</si>
  <si>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</si>
  <si>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</si>
  <si>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</si>
  <si>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</si>
  <si>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</si>
  <si>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</si>
  <si>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</si>
  <si>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</si>
  <si>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</si>
  <si>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</si>
  <si>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</si>
  <si>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</si>
  <si>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</si>
  <si>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</si>
  <si>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</si>
  <si>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</si>
  <si>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</si>
  <si>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</si>
  <si>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</si>
  <si>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</si>
  <si>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</si>
  <si>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</si>
  <si>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</si>
  <si>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</si>
  <si>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</si>
  <si>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</si>
  <si>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</si>
  <si>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</si>
  <si>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</si>
  <si>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</si>
  <si>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</si>
  <si>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</si>
  <si>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</si>
  <si>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</si>
  <si>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</si>
  <si>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</si>
  <si>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</si>
  <si>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</si>
  <si>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</si>
  <si>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</si>
  <si>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</si>
  <si>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</si>
  <si>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</si>
  <si>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</si>
  <si>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</si>
  <si>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</si>
  <si>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</si>
  <si>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</si>
  <si>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</si>
  <si>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</si>
  <si>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</si>
  <si>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</si>
  <si>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</si>
  <si>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</si>
  <si>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</si>
  <si>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</si>
  <si>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</si>
  <si>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</si>
  <si>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</si>
  <si>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</si>
  <si>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</si>
  <si>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</si>
  <si>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</si>
  <si>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</si>
  <si>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</si>
  <si>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</si>
  <si>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</si>
  <si>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</si>
  <si>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</si>
  <si>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</si>
  <si>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</si>
  <si>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</si>
  <si>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</si>
  <si>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</si>
  <si>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</si>
  <si>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</si>
  <si>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</si>
  <si>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</si>
  <si>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</si>
  <si>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</si>
  <si>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</si>
  <si>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</si>
  <si>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</si>
  <si>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</si>
  <si>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</si>
  <si>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</si>
  <si>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</si>
  <si>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</si>
  <si>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</si>
  <si>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</si>
  <si>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</si>
  <si>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</si>
  <si>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</si>
  <si>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</si>
  <si>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</si>
  <si>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</si>
  <si>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</si>
  <si>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</si>
  <si>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</si>
  <si>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</si>
  <si>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</si>
  <si>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</si>
  <si>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</si>
  <si>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</si>
  <si>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</si>
  <si>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</si>
  <si>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</si>
  <si>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</si>
  <si>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</si>
  <si>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</si>
  <si>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</si>
  <si>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</si>
  <si>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</si>
  <si>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</si>
  <si>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</si>
  <si>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</si>
  <si>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</si>
  <si>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</si>
  <si>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</si>
  <si>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HE- Number of properties added to the heritage register / with permanent heritage controls</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</si>
  <si>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</si>
  <si>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</si>
  <si>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</si>
  <si>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</si>
  <si>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</si>
  <si>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</si>
  <si>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</si>
  <si>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</si>
  <si>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</si>
  <si>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</si>
  <si>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</si>
  <si>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</si>
  <si>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</si>
  <si>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</si>
  <si>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</si>
  <si>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</si>
  <si>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</si>
  <si>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</si>
  <si>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</si>
  <si>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</si>
  <si>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</si>
  <si>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</si>
  <si>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</si>
  <si>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</si>
  <si>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</si>
  <si>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</si>
  <si>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</si>
  <si>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</si>
  <si>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</si>
  <si>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</si>
  <si>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</si>
  <si>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</si>
  <si>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</si>
  <si>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</si>
  <si>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</si>
  <si>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</si>
  <si>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</si>
  <si>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</si>
  <si>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</si>
  <si>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</si>
  <si>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</si>
  <si>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</si>
  <si>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</si>
  <si>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</si>
  <si>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</si>
  <si>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</si>
  <si>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</si>
  <si>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</si>
  <si>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</si>
  <si>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</si>
  <si>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</si>
  <si>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</si>
  <si>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</si>
  <si>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</si>
  <si>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</si>
  <si>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</si>
  <si>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</si>
  <si>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</si>
  <si>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</si>
  <si>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</si>
  <si>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</si>
  <si>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</si>
  <si>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</si>
  <si>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</si>
  <si>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</si>
  <si>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</si>
  <si>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</si>
  <si>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</si>
  <si>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</si>
  <si>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</si>
  <si>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</si>
  <si>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</si>
  <si>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</si>
  <si>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</si>
  <si>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</si>
  <si>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</si>
  <si>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</si>
  <si>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</si>
  <si>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</si>
  <si>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</si>
  <si>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decimal</t>
  </si>
  <si>
    <t>integer</t>
  </si>
  <si>
    <t>percentage</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</si>
  <si>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</si>
  <si>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</si>
  <si>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</si>
  <si>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</si>
  <si>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</si>
  <si>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</si>
  <si>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</si>
  <si>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</si>
  <si>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</si>
  <si>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</si>
  <si>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</si>
  <si>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</si>
  <si>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</si>
  <si>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</si>
  <si>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</si>
  <si>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</si>
  <si>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</si>
  <si>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Index score</t>
  </si>
  <si>
    <t>Deaths</t>
  </si>
  <si>
    <t>Tonnes</t>
  </si>
  <si>
    <t>Trees</t>
  </si>
  <si>
    <t>Megalitres</t>
  </si>
  <si>
    <t>ABS (6524.0.55.002)</t>
  </si>
  <si>
    <t>Calculated from Council data</t>
  </si>
  <si>
    <t>Calculated from Council and ABS data</t>
  </si>
  <si>
    <t>THIS IS THE MOST RECENT DATA!!!!</t>
  </si>
  <si>
    <t>The GREEN sheets are for use with the database</t>
  </si>
  <si>
    <t>The data in the red sheets are probably not the most recent</t>
  </si>
  <si>
    <t>Commentary</t>
  </si>
  <si>
    <t>Data to be added</t>
  </si>
  <si>
    <t>Kerbside waste collected and diverted from landfill</t>
  </si>
  <si>
    <t>Why is this important? Add some information here.</t>
  </si>
  <si>
    <t>The percentage of people who have visited local green space weekly or more often</t>
  </si>
  <si>
    <t xml:space="preserve">Add commentary about what the the results mean. </t>
  </si>
  <si>
    <t>prior</t>
  </si>
  <si>
    <t>Department of Employment, Skills, Small and Family Business – Small Area Labour Market (SALM) data</t>
  </si>
  <si>
    <t>Calculated from aerial photographs (NIR) and Elevation (LiDAR) data</t>
  </si>
  <si>
    <t>Calculated from Public Transport Victoria (PTV) GTFS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</si>
</sst>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4"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rgb="FF0070C0"/>
      <name val="Calibri"/>
      <family val="2"/>
      <scheme val="minor"/>
    </font>
    <font>
      <sz val="11"/>
      <color rgb="FF7030A0"/>
      <name val="Calibri"/>
      <family val="2"/>
      <scheme val="minor"/>
    </font>
    <font>
      <sz val="11"/>
      <color theme="5" tint="-0.249977111117893"/>
      <name val="Calibri"/>
      <family val="2"/>
      <scheme val="minor"/>
    </font>
    <font>
      <sz val="11"/>
      <color theme="9" tint="-0.249977111117893"/>
      <name val="Calibri"/>
      <family val="2"/>
      <scheme val="minor"/>
    </font>
    <font>
      <sz val="11"/>
      <color rgb="FFC00000"/>
      <name val="Calibri"/>
      <family val="2"/>
      <scheme val="minor"/>
    </font>
    <font>
      <u/>
      <sz val="11"/>
      <color theme="1"/>
      <name val="Calibri"/>
      <family val="2"/>
      <scheme val="minor"/>
    </font>
    <font>
      <sz val="11"/>
      <color rgb="FFFF0000"/>
      <name val="Calibri"/>
      <family val="2"/>
      <scheme val="minor"/>
    </font>
    <font>
      <sz val="8"/>
      <color theme="1"/>
      <name val="Calibri"/>
      <family val="2"/>
      <scheme val="minor"/>
    </font>
    <font>
      <sz val="11"/>
      <color theme="1"/>
      <name val="Calibri"/>
      <family val="2"/>
      <scheme val="minor"/>
    </font>
    <font>
      <b/>
      <sz val="11"/>
      <color rgb="FFFFFFFF"/>
      <name val="Calibri"/>
      <family val="2"/>
    </font>
    <font>
      <sz val="11"/>
      <color rgb="FF000000"/>
      <name val="Calibri"/>
      <family val="2"/>
    </font>
    <font>
      <sz val="10"/>
      <color theme="1"/>
      <name val="Calibri"/>
      <family val="2"/>
      <scheme val="minor"/>
    </font>
    <font>
      <sz val="11"/>
      <color rgb="FF000000"/>
      <name val="Calibri"/>
      <family val="2"/>
      <scheme val="minor"/>
    </font>
    <font>
      <sz val="7"/>
      <color theme="1"/>
      <name val="Times New Roman"/>
      <family val="1"/>
    </font>
    <font>
      <u/>
      <sz val="11"/>
      <color rgb="FF008080"/>
      <name val="Calibri"/>
      <family val="2"/>
      <scheme val="minor"/>
    </font>
    <font>
      <strike/>
      <sz val="11"/>
      <color rgb="FFFF0000"/>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22">
    <fill>
      <patternFill patternType="none"/>
    </fill>
    <fill>
      <patternFill patternType="gray125"/>
    </fill>
    <fill>
      <patternFill patternType="solid">
        <fgColor theme="1"/>
        <bgColor indexed="64"/>
      </patternFill>
    </fill>
    <fill>
      <patternFill patternType="solid">
        <fgColor rgb="FF0070C0"/>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C00000"/>
        <bgColor indexed="64"/>
      </patternFill>
    </fill>
    <fill>
      <patternFill patternType="solid">
        <fgColor rgb="FFFFFF00"/>
        <bgColor indexed="64"/>
      </patternFill>
    </fill>
    <fill>
      <patternFill patternType="solid">
        <fgColor rgb="FF0000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12" fillId="0" borderId="0" applyFont="0" applyFill="0" applyBorder="0" applyAlignment="0" applyProtection="0"/>
  </cellStyleXfs>
  <cellXfs count="105">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4" fillId="0" borderId="0" xfId="0" applyFont="1" applyAlignment="1">
      <alignment vertical="center" wrapText="1"/>
    </xf>
    <xf numFmtId="0" fontId="0" fillId="0" borderId="0" xfId="0" applyFill="1" applyAlignment="1">
      <alignment vertical="center" wrapText="1"/>
    </xf>
    <xf numFmtId="0" fontId="5" fillId="0" borderId="0" xfId="0" applyFont="1" applyAlignment="1">
      <alignment vertical="center" wrapText="1"/>
    </xf>
    <xf numFmtId="0" fontId="0" fillId="2" borderId="0" xfId="0" applyFill="1" applyAlignment="1">
      <alignment wrapText="1"/>
    </xf>
    <xf numFmtId="0" fontId="0" fillId="4" borderId="0" xfId="0" applyFill="1" applyAlignment="1">
      <alignment vertical="center" wrapText="1"/>
    </xf>
    <xf numFmtId="0" fontId="0" fillId="4" borderId="0" xfId="0" applyFill="1" applyBorder="1" applyAlignment="1">
      <alignment vertical="center" wrapText="1"/>
    </xf>
    <xf numFmtId="0" fontId="0" fillId="4" borderId="0" xfId="0" applyFill="1" applyAlignment="1">
      <alignment wrapText="1"/>
    </xf>
    <xf numFmtId="0" fontId="6" fillId="0" borderId="0" xfId="0" applyFont="1" applyAlignment="1">
      <alignment vertical="center" wrapText="1"/>
    </xf>
    <xf numFmtId="0" fontId="6" fillId="4" borderId="0" xfId="0" applyFont="1" applyFill="1" applyAlignment="1">
      <alignment vertical="center" wrapText="1"/>
    </xf>
    <xf numFmtId="0" fontId="7" fillId="0" borderId="0" xfId="0" applyFont="1" applyAlignment="1">
      <alignment vertical="center" wrapText="1"/>
    </xf>
    <xf numFmtId="0" fontId="8" fillId="0" borderId="0" xfId="0" applyFont="1" applyAlignment="1">
      <alignment vertical="center" wrapText="1"/>
    </xf>
    <xf numFmtId="0" fontId="0" fillId="2" borderId="0" xfId="0" applyFill="1"/>
    <xf numFmtId="0" fontId="1" fillId="2" borderId="0" xfId="0" applyFont="1" applyFill="1" applyAlignment="1">
      <alignment horizontal="center"/>
    </xf>
    <xf numFmtId="0" fontId="1" fillId="2" borderId="0" xfId="0" applyFont="1" applyFill="1" applyAlignment="1">
      <alignment horizontal="center" wrapText="1"/>
    </xf>
    <xf numFmtId="0" fontId="9" fillId="4" borderId="0" xfId="0" applyFont="1" applyFill="1" applyAlignment="1">
      <alignment vertical="center" wrapText="1"/>
    </xf>
    <xf numFmtId="0" fontId="0" fillId="2" borderId="0" xfId="0" applyFill="1" applyAlignment="1">
      <alignment horizontal="center"/>
    </xf>
    <xf numFmtId="0" fontId="0" fillId="9" borderId="0" xfId="0" applyFill="1" applyAlignment="1">
      <alignment vertical="center" wrapText="1"/>
    </xf>
    <xf numFmtId="0" fontId="0" fillId="9" borderId="0" xfId="0" applyFill="1" applyAlignment="1">
      <alignment wrapText="1"/>
    </xf>
    <xf numFmtId="0" fontId="0" fillId="0" borderId="0" xfId="0" applyAlignment="1">
      <alignment horizontal="left" vertical="center" wrapText="1" indent="1"/>
    </xf>
    <xf numFmtId="0" fontId="0" fillId="9" borderId="0" xfId="0" applyFill="1" applyAlignment="1">
      <alignment vertical="center"/>
    </xf>
    <xf numFmtId="0" fontId="2" fillId="0" borderId="0" xfId="0" applyFont="1" applyAlignment="1">
      <alignment vertical="center" wrapText="1"/>
    </xf>
    <xf numFmtId="0" fontId="13" fillId="10" borderId="0" xfId="0" applyFont="1" applyFill="1" applyAlignment="1">
      <alignment horizontal="center" vertical="center" wrapText="1"/>
    </xf>
    <xf numFmtId="0" fontId="14" fillId="0" borderId="0" xfId="0" applyFont="1" applyAlignment="1">
      <alignment vertical="center" wrapText="1"/>
    </xf>
    <xf numFmtId="0" fontId="14" fillId="0" borderId="0" xfId="0" applyFont="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11" fillId="0" borderId="0" xfId="0" applyFont="1" applyAlignment="1">
      <alignment vertical="center"/>
    </xf>
    <xf numFmtId="0" fontId="16" fillId="0" borderId="0" xfId="0" applyFont="1"/>
    <xf numFmtId="0" fontId="16" fillId="0" borderId="0" xfId="0" applyFont="1" applyAlignment="1">
      <alignment vertical="center"/>
    </xf>
    <xf numFmtId="0" fontId="16" fillId="0" borderId="0" xfId="0" applyFont="1" applyAlignment="1">
      <alignment vertical="center" wrapText="1"/>
    </xf>
    <xf numFmtId="0" fontId="15" fillId="0" borderId="0" xfId="0" applyFont="1" applyAlignment="1">
      <alignment vertical="center"/>
    </xf>
    <xf numFmtId="0" fontId="12" fillId="0" borderId="0" xfId="0" applyFont="1" applyAlignment="1">
      <alignment vertical="center"/>
    </xf>
    <xf numFmtId="0" fontId="18" fillId="0" borderId="0" xfId="0" applyFont="1" applyAlignment="1">
      <alignment vertical="center"/>
    </xf>
    <xf numFmtId="0" fontId="10" fillId="9"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9" borderId="0" xfId="0" applyFill="1" applyBorder="1" applyAlignment="1">
      <alignment vertical="center" wrapText="1"/>
    </xf>
    <xf numFmtId="0" fontId="0" fillId="4"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1" fillId="2" borderId="0" xfId="0" applyFont="1" applyFill="1" applyAlignment="1">
      <alignment horizontal="left"/>
    </xf>
    <xf numFmtId="0" fontId="0" fillId="2" borderId="0" xfId="0" applyFill="1" applyAlignment="1">
      <alignment horizontal="left"/>
    </xf>
    <xf numFmtId="0" fontId="0" fillId="0" borderId="0" xfId="0" applyAlignment="1">
      <alignment horizontal="left" vertical="center"/>
    </xf>
    <xf numFmtId="0" fontId="0" fillId="0" borderId="0" xfId="0" applyFill="1" applyAlignment="1">
      <alignment wrapText="1"/>
    </xf>
    <xf numFmtId="0" fontId="1" fillId="2" borderId="0" xfId="0" applyFont="1" applyFill="1" applyAlignment="1">
      <alignment horizontal="center" vertical="top" wrapText="1"/>
    </xf>
    <xf numFmtId="0" fontId="20" fillId="11" borderId="0" xfId="0" applyFont="1" applyFill="1" applyAlignment="1">
      <alignment horizontal="center" vertical="top" wrapText="1"/>
    </xf>
    <xf numFmtId="0" fontId="23" fillId="2" borderId="0" xfId="0" applyFont="1" applyFill="1" applyAlignment="1">
      <alignment horizontal="center" vertical="top" wrapText="1"/>
    </xf>
    <xf numFmtId="0" fontId="0" fillId="12" borderId="0" xfId="0" applyFill="1" applyAlignment="1">
      <alignment vertical="center" wrapText="1"/>
    </xf>
    <xf numFmtId="0" fontId="0" fillId="11" borderId="0" xfId="0" applyFill="1" applyAlignment="1">
      <alignment vertical="center" wrapText="1"/>
    </xf>
    <xf numFmtId="0" fontId="0" fillId="13" borderId="0" xfId="0" applyFill="1" applyAlignment="1">
      <alignment vertical="center" wrapText="1"/>
    </xf>
    <xf numFmtId="0" fontId="1" fillId="14" borderId="0" xfId="0" applyFont="1" applyFill="1" applyAlignment="1">
      <alignment horizontal="center" vertical="center"/>
    </xf>
    <xf numFmtId="0" fontId="1" fillId="15" borderId="0" xfId="0" applyFont="1" applyFill="1" applyAlignment="1">
      <alignment horizontal="center" vertical="center"/>
    </xf>
    <xf numFmtId="0" fontId="1" fillId="5" borderId="0" xfId="0" applyFont="1" applyFill="1" applyAlignment="1">
      <alignment horizontal="center" vertical="center"/>
    </xf>
    <xf numFmtId="0" fontId="1" fillId="16" borderId="0" xfId="0" applyFont="1" applyFill="1" applyAlignment="1">
      <alignment horizontal="center" vertical="center"/>
    </xf>
    <xf numFmtId="0" fontId="0" fillId="0" borderId="0" xfId="0" applyFont="1" applyAlignment="1">
      <alignment vertical="center" wrapText="1"/>
    </xf>
    <xf numFmtId="0" fontId="0" fillId="17" borderId="0" xfId="0" applyFill="1" applyAlignment="1">
      <alignment vertical="center" wrapText="1"/>
    </xf>
    <xf numFmtId="9" fontId="0" fillId="5" borderId="0" xfId="0" applyNumberFormat="1" applyFill="1" applyAlignment="1">
      <alignment vertical="center" wrapText="1"/>
    </xf>
    <xf numFmtId="9" fontId="0" fillId="7" borderId="0" xfId="0" applyNumberFormat="1" applyFill="1" applyAlignment="1">
      <alignment vertical="center" wrapText="1"/>
    </xf>
    <xf numFmtId="0" fontId="0" fillId="18"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9" borderId="0" xfId="0" applyNumberFormat="1" applyFill="1" applyAlignment="1">
      <alignment vertical="center" wrapText="1"/>
    </xf>
    <xf numFmtId="9" fontId="0" fillId="13" borderId="0" xfId="0" applyNumberFormat="1" applyFill="1" applyAlignment="1">
      <alignment vertical="center" wrapText="1"/>
    </xf>
    <xf numFmtId="9" fontId="0" fillId="19" borderId="0" xfId="0" applyNumberFormat="1" applyFill="1" applyAlignment="1">
      <alignment vertical="center" wrapText="1"/>
    </xf>
    <xf numFmtId="3" fontId="0" fillId="9" borderId="0" xfId="0" applyNumberFormat="1" applyFill="1" applyAlignment="1">
      <alignment vertical="center" wrapText="1"/>
    </xf>
    <xf numFmtId="9" fontId="0" fillId="20"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6"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6" borderId="0" xfId="0" applyFont="1" applyFill="1" applyAlignment="1">
      <alignment horizontal="center" vertical="center"/>
    </xf>
    <xf numFmtId="0" fontId="0" fillId="9"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6"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21" borderId="0" xfId="0" applyFill="1"/>
    <xf numFmtId="0" fontId="0" fillId="14" borderId="0" xfId="0" applyFill="1"/>
    <xf numFmtId="0" fontId="1" fillId="6" borderId="0" xfId="0" applyFont="1" applyFill="1" applyAlignment="1">
      <alignment horizontal="center" vertical="center"/>
    </xf>
    <xf numFmtId="0" fontId="1" fillId="6" borderId="0" xfId="0" applyFont="1" applyFill="1" applyAlignment="1">
      <alignment horizontal="center" vertical="center"/>
    </xf>
    <xf numFmtId="0" fontId="1" fillId="3" borderId="0" xfId="0" applyFont="1" applyFill="1" applyAlignment="1">
      <alignment horizontal="center" vertical="center"/>
    </xf>
    <xf numFmtId="0" fontId="1" fillId="6" borderId="0" xfId="0" applyFont="1" applyFill="1" applyAlignment="1">
      <alignment horizontal="center" vertical="center"/>
    </xf>
    <xf numFmtId="0" fontId="1" fillId="7" borderId="0" xfId="0" applyFont="1" applyFill="1" applyAlignment="1">
      <alignment horizontal="center" vertical="center"/>
    </xf>
    <xf numFmtId="0" fontId="3" fillId="5" borderId="0" xfId="0" applyFont="1" applyFill="1" applyAlignment="1">
      <alignment horizontal="center" vertical="center"/>
    </xf>
    <xf numFmtId="0" fontId="1" fillId="8" borderId="0" xfId="0" applyFont="1" applyFill="1" applyAlignment="1">
      <alignment horizontal="center" vertical="center"/>
    </xf>
  </cellXfs>
  <cellStyles count="2">
    <cellStyle name="Normal" xfId="0" builtinId="0"/>
    <cellStyle name="Percent" xfId="1" builtinId="5"/>
  </cellStyles>
  <dxfs count="159">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workbookViewId="0"/>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52" t="s">
        <v>689</v>
      </c>
      <c r="B1" s="52" t="s">
        <v>1</v>
      </c>
      <c r="C1" s="52" t="s">
        <v>427</v>
      </c>
      <c r="D1" s="52" t="s">
        <v>101</v>
      </c>
      <c r="E1" s="52" t="s">
        <v>601</v>
      </c>
      <c r="F1" s="52" t="s">
        <v>2</v>
      </c>
      <c r="G1" s="52" t="s">
        <v>395</v>
      </c>
      <c r="H1" s="52" t="s">
        <v>350</v>
      </c>
      <c r="I1" s="52" t="s">
        <v>142</v>
      </c>
      <c r="J1" s="52" t="s">
        <v>10</v>
      </c>
      <c r="K1" s="52" t="s">
        <v>201</v>
      </c>
      <c r="L1" s="52" t="s">
        <v>400</v>
      </c>
      <c r="M1" s="52" t="s">
        <v>415</v>
      </c>
      <c r="N1" s="52" t="s">
        <v>202</v>
      </c>
      <c r="O1" s="52" t="s">
        <v>652</v>
      </c>
      <c r="P1" s="52" t="s">
        <v>653</v>
      </c>
      <c r="Q1" s="52" t="s">
        <v>654</v>
      </c>
      <c r="R1" s="52" t="s">
        <v>655</v>
      </c>
      <c r="S1" s="52" t="s">
        <v>8</v>
      </c>
      <c r="T1" s="52" t="s">
        <v>429</v>
      </c>
      <c r="U1" s="53" t="s">
        <v>396</v>
      </c>
      <c r="V1" s="52" t="s">
        <v>648</v>
      </c>
      <c r="W1" s="54" t="s">
        <v>416</v>
      </c>
      <c r="X1" s="54" t="s">
        <v>417</v>
      </c>
      <c r="Y1" s="54" t="s">
        <v>418</v>
      </c>
      <c r="Z1" s="54" t="s">
        <v>419</v>
      </c>
      <c r="AA1" s="54" t="s">
        <v>420</v>
      </c>
      <c r="AB1" s="54" t="s">
        <v>421</v>
      </c>
      <c r="AC1" s="54" t="s">
        <v>454</v>
      </c>
      <c r="AD1" s="52" t="s">
        <v>148</v>
      </c>
    </row>
    <row r="2" spans="1:30" ht="60" x14ac:dyDescent="0.25">
      <c r="A2" s="58" t="s">
        <v>690</v>
      </c>
      <c r="B2" s="58" t="s">
        <v>0</v>
      </c>
      <c r="C2" s="58">
        <v>1</v>
      </c>
      <c r="D2" s="2" t="s">
        <v>102</v>
      </c>
      <c r="E2" s="2" t="s">
        <v>103</v>
      </c>
      <c r="F2" s="2" t="s">
        <v>500</v>
      </c>
      <c r="G2" s="8" t="s">
        <v>549</v>
      </c>
      <c r="H2" s="8" t="s">
        <v>437</v>
      </c>
      <c r="I2" s="8" t="s">
        <v>147</v>
      </c>
      <c r="J2" s="2" t="s">
        <v>684</v>
      </c>
      <c r="K2" s="41" t="s">
        <v>349</v>
      </c>
      <c r="L2" s="2">
        <v>4.95</v>
      </c>
      <c r="M2" s="2"/>
      <c r="N2" s="2"/>
      <c r="O2" s="2">
        <f>(($S2-$L2)/21*6)+$L2</f>
        <v>4.71</v>
      </c>
      <c r="P2" s="2">
        <f>(($S2-$L2)/21*10)+$L2</f>
        <v>4.5500000000000007</v>
      </c>
      <c r="Q2" s="2">
        <f>(($S2-$L2)/21*14)+$L2</f>
        <v>4.3900000000000006</v>
      </c>
      <c r="R2" s="5">
        <f>(($S2-$L2)/21*18)+$L2</f>
        <v>4.2300000000000004</v>
      </c>
      <c r="S2" s="5">
        <v>4.1100000000000003</v>
      </c>
      <c r="T2" s="73" t="s">
        <v>632</v>
      </c>
      <c r="U2" s="2" t="s">
        <v>397</v>
      </c>
      <c r="V2" t="s">
        <v>599</v>
      </c>
      <c r="W2" t="s">
        <v>432</v>
      </c>
      <c r="X2" t="s">
        <v>432</v>
      </c>
      <c r="Y2" t="s">
        <v>432</v>
      </c>
      <c r="AA2" t="s">
        <v>497</v>
      </c>
      <c r="AC2" t="s">
        <v>497</v>
      </c>
      <c r="AD2" s="2" t="s">
        <v>149</v>
      </c>
    </row>
    <row r="3" spans="1:30" ht="45" hidden="1" x14ac:dyDescent="0.25">
      <c r="A3" s="58"/>
      <c r="B3" s="58" t="s">
        <v>0</v>
      </c>
      <c r="C3" s="58">
        <v>1</v>
      </c>
      <c r="D3" s="2" t="s">
        <v>102</v>
      </c>
      <c r="E3" s="2" t="s">
        <v>103</v>
      </c>
      <c r="F3" s="2" t="s">
        <v>500</v>
      </c>
      <c r="G3" s="8" t="s">
        <v>471</v>
      </c>
      <c r="H3" s="8" t="s">
        <v>470</v>
      </c>
      <c r="I3" s="8" t="s">
        <v>146</v>
      </c>
      <c r="J3" s="2" t="s">
        <v>28</v>
      </c>
      <c r="K3" s="2"/>
      <c r="L3" s="2"/>
      <c r="M3" s="2"/>
      <c r="N3" s="2"/>
      <c r="O3" s="2"/>
      <c r="P3" s="2"/>
      <c r="Q3" s="2"/>
      <c r="R3" s="5"/>
      <c r="S3" s="5"/>
      <c r="T3" s="2"/>
      <c r="U3" s="2" t="s">
        <v>351</v>
      </c>
      <c r="W3" t="s">
        <v>432</v>
      </c>
      <c r="X3" t="s">
        <v>432</v>
      </c>
      <c r="Y3" t="s">
        <v>432</v>
      </c>
      <c r="AA3" t="s">
        <v>497</v>
      </c>
      <c r="AC3" t="s">
        <v>497</v>
      </c>
      <c r="AD3" s="2" t="s">
        <v>149</v>
      </c>
    </row>
    <row r="4" spans="1:30" ht="45" hidden="1" x14ac:dyDescent="0.25">
      <c r="A4" s="58"/>
      <c r="B4" s="58" t="s">
        <v>0</v>
      </c>
      <c r="C4" s="58">
        <v>1</v>
      </c>
      <c r="D4" s="2" t="s">
        <v>102</v>
      </c>
      <c r="E4" s="2" t="s">
        <v>103</v>
      </c>
      <c r="F4" s="2" t="s">
        <v>500</v>
      </c>
      <c r="G4" s="8" t="s">
        <v>550</v>
      </c>
      <c r="H4" s="8" t="s">
        <v>352</v>
      </c>
      <c r="I4" s="8"/>
      <c r="J4" s="2" t="s">
        <v>28</v>
      </c>
      <c r="K4" s="2">
        <v>2016</v>
      </c>
      <c r="L4" s="2">
        <v>430</v>
      </c>
      <c r="M4" s="2"/>
      <c r="N4" s="2"/>
      <c r="O4" s="2"/>
      <c r="P4" s="2"/>
      <c r="Q4" s="2"/>
      <c r="R4" s="5"/>
      <c r="S4" s="5"/>
      <c r="T4" s="2"/>
      <c r="U4" s="2" t="s">
        <v>398</v>
      </c>
      <c r="W4" t="s">
        <v>432</v>
      </c>
      <c r="X4" t="s">
        <v>432</v>
      </c>
      <c r="Y4" t="s">
        <v>432</v>
      </c>
      <c r="AA4" t="s">
        <v>492</v>
      </c>
      <c r="AC4" t="s">
        <v>497</v>
      </c>
      <c r="AD4" s="2" t="s">
        <v>150</v>
      </c>
    </row>
    <row r="5" spans="1:30" ht="60" hidden="1" x14ac:dyDescent="0.25">
      <c r="A5" s="58"/>
      <c r="B5" s="58" t="s">
        <v>0</v>
      </c>
      <c r="C5" s="58">
        <v>1</v>
      </c>
      <c r="D5" s="2" t="s">
        <v>102</v>
      </c>
      <c r="E5" s="2" t="s">
        <v>103</v>
      </c>
      <c r="F5" s="2" t="s">
        <v>500</v>
      </c>
      <c r="G5" s="8" t="s">
        <v>353</v>
      </c>
      <c r="H5" s="8" t="s">
        <v>438</v>
      </c>
      <c r="I5" s="8" t="s">
        <v>144</v>
      </c>
      <c r="J5" s="2" t="s">
        <v>151</v>
      </c>
      <c r="K5" s="2"/>
      <c r="L5" s="2"/>
      <c r="M5" s="2"/>
      <c r="N5" s="2"/>
      <c r="O5" s="2"/>
      <c r="P5" s="2"/>
      <c r="Q5" s="2"/>
      <c r="R5" s="5"/>
      <c r="S5" s="5"/>
      <c r="T5" s="2"/>
      <c r="U5" s="2" t="s">
        <v>351</v>
      </c>
      <c r="W5" s="3"/>
      <c r="X5" s="3"/>
      <c r="Y5" s="3"/>
      <c r="Z5" s="3"/>
      <c r="AA5" s="3" t="s">
        <v>494</v>
      </c>
      <c r="AB5" s="3"/>
      <c r="AC5" s="3" t="s">
        <v>494</v>
      </c>
      <c r="AD5" s="2" t="s">
        <v>150</v>
      </c>
    </row>
    <row r="6" spans="1:30" ht="45" hidden="1" x14ac:dyDescent="0.25">
      <c r="A6" s="58"/>
      <c r="B6" s="58" t="s">
        <v>0</v>
      </c>
      <c r="C6" s="58">
        <v>1</v>
      </c>
      <c r="D6" s="2" t="s">
        <v>102</v>
      </c>
      <c r="E6" s="2" t="s">
        <v>103</v>
      </c>
      <c r="F6" s="2" t="s">
        <v>500</v>
      </c>
      <c r="G6" s="8" t="s">
        <v>513</v>
      </c>
      <c r="H6" s="44" t="s">
        <v>466</v>
      </c>
      <c r="I6" s="8" t="s">
        <v>113</v>
      </c>
      <c r="J6" s="2" t="s">
        <v>13</v>
      </c>
      <c r="K6" s="2">
        <v>2018</v>
      </c>
      <c r="L6" s="42">
        <v>0.85199999999999998</v>
      </c>
      <c r="M6" s="2">
        <v>2019</v>
      </c>
      <c r="N6" s="42">
        <v>0.89100000000000001</v>
      </c>
      <c r="O6" s="42"/>
      <c r="P6" s="42"/>
      <c r="Q6" s="42"/>
      <c r="R6" s="5"/>
      <c r="S6" s="5"/>
      <c r="T6" s="2"/>
      <c r="U6" s="2" t="s">
        <v>398</v>
      </c>
      <c r="W6" t="s">
        <v>432</v>
      </c>
      <c r="X6" t="s">
        <v>432</v>
      </c>
      <c r="Y6" t="s">
        <v>455</v>
      </c>
      <c r="AA6" t="s">
        <v>497</v>
      </c>
      <c r="AC6" t="s">
        <v>494</v>
      </c>
      <c r="AD6" s="2" t="s">
        <v>150</v>
      </c>
    </row>
    <row r="7" spans="1:30" ht="45" x14ac:dyDescent="0.25">
      <c r="A7" s="58" t="s">
        <v>692</v>
      </c>
      <c r="B7" s="58" t="s">
        <v>0</v>
      </c>
      <c r="C7" s="58">
        <v>1</v>
      </c>
      <c r="D7" s="2" t="s">
        <v>102</v>
      </c>
      <c r="E7" s="2" t="s">
        <v>103</v>
      </c>
      <c r="F7" s="2" t="s">
        <v>500</v>
      </c>
      <c r="G7" s="8" t="s">
        <v>514</v>
      </c>
      <c r="H7" s="8" t="s">
        <v>746</v>
      </c>
      <c r="I7" s="8" t="s">
        <v>113</v>
      </c>
      <c r="J7" s="2" t="s">
        <v>13</v>
      </c>
      <c r="K7" s="2">
        <v>2018</v>
      </c>
      <c r="L7" s="42">
        <v>0.68400000000000005</v>
      </c>
      <c r="M7" s="30">
        <v>2019</v>
      </c>
      <c r="N7" s="42">
        <v>0.67200000000000004</v>
      </c>
      <c r="O7" s="42">
        <f>(($S7-$L7)/21*6)+$L7</f>
        <v>0.71714285714285719</v>
      </c>
      <c r="P7" s="42">
        <f>(($S7-$L7)/21*10)+$L7</f>
        <v>0.73923809523809525</v>
      </c>
      <c r="Q7" s="42">
        <f>(($S7-$L7)/21*14)+$L7</f>
        <v>0.76133333333333342</v>
      </c>
      <c r="R7" s="75">
        <f>(($S7-$L7)/21*18)+$L7</f>
        <v>0.78342857142857147</v>
      </c>
      <c r="S7" s="75">
        <v>0.8</v>
      </c>
      <c r="T7" s="73" t="s">
        <v>625</v>
      </c>
      <c r="U7" s="2" t="s">
        <v>397</v>
      </c>
      <c r="V7" t="s">
        <v>599</v>
      </c>
      <c r="W7" t="s">
        <v>432</v>
      </c>
      <c r="X7" t="s">
        <v>432</v>
      </c>
      <c r="Y7" t="s">
        <v>432</v>
      </c>
      <c r="AA7" t="s">
        <v>494</v>
      </c>
      <c r="AC7" t="s">
        <v>494</v>
      </c>
      <c r="AD7" s="2"/>
    </row>
    <row r="8" spans="1:30" ht="75" hidden="1" x14ac:dyDescent="0.25">
      <c r="A8" s="58"/>
      <c r="B8" s="58" t="s">
        <v>0</v>
      </c>
      <c r="C8" s="58">
        <v>1</v>
      </c>
      <c r="D8" s="2" t="s">
        <v>102</v>
      </c>
      <c r="E8" s="2" t="s">
        <v>103</v>
      </c>
      <c r="F8" s="2" t="s">
        <v>500</v>
      </c>
      <c r="G8" s="8" t="s">
        <v>503</v>
      </c>
      <c r="H8" s="20" t="s">
        <v>746</v>
      </c>
      <c r="I8" s="8" t="s">
        <v>113</v>
      </c>
      <c r="J8" s="2" t="s">
        <v>15</v>
      </c>
      <c r="K8" s="2">
        <v>2018</v>
      </c>
      <c r="L8" s="2">
        <v>10</v>
      </c>
      <c r="M8" s="2"/>
      <c r="N8" s="2"/>
      <c r="O8" s="2"/>
      <c r="P8" s="2"/>
      <c r="Q8" s="2"/>
      <c r="R8" s="5"/>
      <c r="S8" s="5"/>
      <c r="T8" s="2"/>
      <c r="U8" s="2" t="s">
        <v>398</v>
      </c>
      <c r="W8" t="s">
        <v>432</v>
      </c>
      <c r="X8" t="s">
        <v>432</v>
      </c>
      <c r="AA8" t="s">
        <v>494</v>
      </c>
      <c r="AC8" t="s">
        <v>494</v>
      </c>
      <c r="AD8" s="2"/>
    </row>
    <row r="9" spans="1:30" ht="45" x14ac:dyDescent="0.25">
      <c r="A9" s="58" t="s">
        <v>691</v>
      </c>
      <c r="B9" s="58" t="s">
        <v>0</v>
      </c>
      <c r="C9" s="58">
        <v>1</v>
      </c>
      <c r="D9" s="2" t="s">
        <v>102</v>
      </c>
      <c r="E9" s="2" t="s">
        <v>103</v>
      </c>
      <c r="F9" s="2" t="s">
        <v>500</v>
      </c>
      <c r="G9" s="8" t="s">
        <v>657</v>
      </c>
      <c r="H9" s="8" t="s">
        <v>747</v>
      </c>
      <c r="I9" s="8" t="s">
        <v>113</v>
      </c>
      <c r="J9" s="2" t="s">
        <v>13</v>
      </c>
      <c r="K9" s="2">
        <v>2018</v>
      </c>
      <c r="L9" s="42">
        <v>0.63</v>
      </c>
      <c r="M9" s="2">
        <v>2019</v>
      </c>
      <c r="N9" s="42">
        <v>0.60699999999999998</v>
      </c>
      <c r="O9" s="42">
        <f>(($S9-$L9)/21*6)+$L9</f>
        <v>0.70714285714285718</v>
      </c>
      <c r="P9" s="42">
        <f>(($S9-$L9)/21*10)+$L9</f>
        <v>0.75857142857142856</v>
      </c>
      <c r="Q9" s="42">
        <f>(($S9-$L9)/21*14)+$L9</f>
        <v>0.81</v>
      </c>
      <c r="R9" s="75">
        <f>(($S9-$L9)/21*18)+$L9</f>
        <v>0.86142857142857143</v>
      </c>
      <c r="S9" s="75">
        <v>0.9</v>
      </c>
      <c r="T9" s="73" t="s">
        <v>625</v>
      </c>
      <c r="U9" s="2" t="s">
        <v>397</v>
      </c>
      <c r="V9" t="s">
        <v>599</v>
      </c>
      <c r="W9" t="s">
        <v>432</v>
      </c>
      <c r="X9" t="s">
        <v>432</v>
      </c>
      <c r="Y9" t="s">
        <v>432</v>
      </c>
      <c r="AA9" t="s">
        <v>494</v>
      </c>
      <c r="AC9" t="s">
        <v>494</v>
      </c>
      <c r="AD9" s="2" t="s">
        <v>149</v>
      </c>
    </row>
    <row r="10" spans="1:30" ht="90" hidden="1" x14ac:dyDescent="0.25">
      <c r="A10" s="58"/>
      <c r="B10" s="58" t="s">
        <v>0</v>
      </c>
      <c r="C10" s="58">
        <v>2</v>
      </c>
      <c r="D10" s="2" t="s">
        <v>104</v>
      </c>
      <c r="E10" s="2" t="s">
        <v>105</v>
      </c>
      <c r="F10" s="2" t="s">
        <v>572</v>
      </c>
      <c r="G10" s="9" t="s">
        <v>439</v>
      </c>
      <c r="H10" s="9" t="s">
        <v>541</v>
      </c>
      <c r="I10" s="8" t="s">
        <v>113</v>
      </c>
      <c r="J10" s="2" t="s">
        <v>13</v>
      </c>
      <c r="K10" s="3">
        <v>2018</v>
      </c>
      <c r="L10" s="2">
        <v>60</v>
      </c>
      <c r="M10" s="2">
        <v>2019</v>
      </c>
      <c r="N10" s="2">
        <v>58</v>
      </c>
      <c r="O10" s="2"/>
      <c r="P10" s="2"/>
      <c r="Q10" s="2"/>
      <c r="R10" s="5"/>
      <c r="S10" s="5"/>
      <c r="T10" s="2"/>
      <c r="U10" s="2" t="s">
        <v>398</v>
      </c>
      <c r="W10" t="s">
        <v>432</v>
      </c>
      <c r="X10" t="s">
        <v>432</v>
      </c>
      <c r="Y10" t="s">
        <v>432</v>
      </c>
      <c r="AA10" t="s">
        <v>494</v>
      </c>
      <c r="AC10" t="s">
        <v>492</v>
      </c>
      <c r="AD10" s="3"/>
    </row>
    <row r="11" spans="1:30" ht="150" x14ac:dyDescent="0.25">
      <c r="A11" s="58" t="s">
        <v>693</v>
      </c>
      <c r="B11" s="58" t="s">
        <v>0</v>
      </c>
      <c r="C11" s="58">
        <v>2</v>
      </c>
      <c r="D11" s="2" t="s">
        <v>104</v>
      </c>
      <c r="E11" s="2" t="s">
        <v>105</v>
      </c>
      <c r="F11" s="2" t="s">
        <v>572</v>
      </c>
      <c r="G11" s="9" t="s">
        <v>658</v>
      </c>
      <c r="H11" s="43" t="s">
        <v>491</v>
      </c>
      <c r="I11" s="8" t="s">
        <v>683</v>
      </c>
      <c r="J11" s="8" t="s">
        <v>682</v>
      </c>
      <c r="K11" s="23"/>
      <c r="L11" s="20"/>
      <c r="M11" s="20"/>
      <c r="N11" s="20"/>
      <c r="O11" s="42"/>
      <c r="P11" s="42"/>
      <c r="Q11" s="42"/>
      <c r="R11" s="5"/>
      <c r="S11" s="5"/>
      <c r="T11" s="70" t="s">
        <v>602</v>
      </c>
      <c r="U11" s="2" t="s">
        <v>397</v>
      </c>
      <c r="V11" t="s">
        <v>599</v>
      </c>
      <c r="W11" s="3"/>
      <c r="X11" s="3"/>
      <c r="Y11" s="3"/>
      <c r="Z11" s="3"/>
      <c r="AA11" s="3" t="s">
        <v>494</v>
      </c>
      <c r="AB11" s="3"/>
      <c r="AC11" s="3" t="s">
        <v>494</v>
      </c>
      <c r="AD11" s="3" t="s">
        <v>149</v>
      </c>
    </row>
    <row r="12" spans="1:30" ht="75" hidden="1" x14ac:dyDescent="0.25">
      <c r="A12" s="58"/>
      <c r="B12" s="58" t="s">
        <v>0</v>
      </c>
      <c r="C12" s="58">
        <v>2</v>
      </c>
      <c r="D12" s="2" t="s">
        <v>104</v>
      </c>
      <c r="E12" s="2" t="s">
        <v>105</v>
      </c>
      <c r="F12" s="2" t="s">
        <v>572</v>
      </c>
      <c r="G12" s="9" t="s">
        <v>472</v>
      </c>
      <c r="H12" s="9" t="s">
        <v>355</v>
      </c>
      <c r="I12" s="8" t="s">
        <v>146</v>
      </c>
      <c r="J12" s="2" t="s">
        <v>151</v>
      </c>
      <c r="K12" s="3" t="s">
        <v>354</v>
      </c>
      <c r="L12" s="2">
        <v>6.33</v>
      </c>
      <c r="M12" s="2" t="s">
        <v>606</v>
      </c>
      <c r="N12" s="2">
        <v>5.37</v>
      </c>
      <c r="O12" s="2"/>
      <c r="P12" s="2"/>
      <c r="Q12" s="2"/>
      <c r="R12" s="5"/>
      <c r="S12" s="5"/>
      <c r="T12" s="2"/>
      <c r="U12" s="2" t="s">
        <v>398</v>
      </c>
      <c r="W12" t="s">
        <v>432</v>
      </c>
      <c r="X12" t="s">
        <v>432</v>
      </c>
      <c r="Y12" t="s">
        <v>432</v>
      </c>
      <c r="AA12" t="s">
        <v>494</v>
      </c>
      <c r="AC12" t="s">
        <v>494</v>
      </c>
      <c r="AD12" s="3" t="s">
        <v>150</v>
      </c>
    </row>
    <row r="13" spans="1:30" ht="75" hidden="1" x14ac:dyDescent="0.25">
      <c r="A13" s="58"/>
      <c r="B13" s="58" t="s">
        <v>0</v>
      </c>
      <c r="C13" s="58">
        <v>2</v>
      </c>
      <c r="D13" s="2" t="s">
        <v>104</v>
      </c>
      <c r="E13" s="2" t="s">
        <v>105</v>
      </c>
      <c r="F13" s="2" t="s">
        <v>572</v>
      </c>
      <c r="G13" s="8" t="s">
        <v>473</v>
      </c>
      <c r="H13" s="20" t="s">
        <v>144</v>
      </c>
      <c r="I13" s="9" t="s">
        <v>143</v>
      </c>
      <c r="J13" s="2" t="s">
        <v>144</v>
      </c>
      <c r="K13" s="2"/>
      <c r="L13" s="2"/>
      <c r="M13" s="2"/>
      <c r="N13" s="2"/>
      <c r="O13" s="2"/>
      <c r="P13" s="2"/>
      <c r="Q13" s="2"/>
      <c r="R13" s="5"/>
      <c r="S13" s="5"/>
      <c r="T13" s="2"/>
      <c r="U13" s="2" t="s">
        <v>398</v>
      </c>
      <c r="W13" s="3"/>
      <c r="X13" s="3"/>
      <c r="Y13" s="3"/>
      <c r="Z13" s="3"/>
      <c r="AA13" s="3" t="s">
        <v>494</v>
      </c>
      <c r="AB13" s="3"/>
      <c r="AC13" s="3" t="s">
        <v>494</v>
      </c>
      <c r="AD13" s="2"/>
    </row>
    <row r="14" spans="1:30" ht="75" hidden="1" x14ac:dyDescent="0.25">
      <c r="A14" s="58"/>
      <c r="B14" s="58" t="s">
        <v>0</v>
      </c>
      <c r="C14" s="58">
        <v>2</v>
      </c>
      <c r="D14" s="2" t="s">
        <v>104</v>
      </c>
      <c r="E14" s="2" t="s">
        <v>105</v>
      </c>
      <c r="F14" s="2" t="s">
        <v>572</v>
      </c>
      <c r="G14" s="8" t="s">
        <v>548</v>
      </c>
      <c r="H14" s="20" t="s">
        <v>547</v>
      </c>
      <c r="I14" s="43" t="s">
        <v>143</v>
      </c>
      <c r="J14" s="20" t="s">
        <v>433</v>
      </c>
      <c r="K14" s="2"/>
      <c r="L14" s="2"/>
      <c r="M14" s="2"/>
      <c r="N14" s="2"/>
      <c r="O14" s="2"/>
      <c r="P14" s="2"/>
      <c r="Q14" s="2"/>
      <c r="R14" s="5"/>
      <c r="S14" s="5"/>
      <c r="T14" s="2"/>
      <c r="U14" s="2" t="s">
        <v>401</v>
      </c>
      <c r="W14" s="3"/>
      <c r="X14" s="3"/>
      <c r="Y14" s="3"/>
      <c r="Z14" s="3"/>
      <c r="AA14" s="3" t="s">
        <v>492</v>
      </c>
      <c r="AB14" s="3"/>
      <c r="AC14" s="3" t="s">
        <v>492</v>
      </c>
      <c r="AD14" s="2"/>
    </row>
    <row r="15" spans="1:30" ht="75" x14ac:dyDescent="0.25">
      <c r="A15" s="58" t="s">
        <v>694</v>
      </c>
      <c r="B15" s="58" t="s">
        <v>0</v>
      </c>
      <c r="C15" s="58">
        <v>3</v>
      </c>
      <c r="D15" s="2" t="s">
        <v>106</v>
      </c>
      <c r="E15" s="2" t="s">
        <v>107</v>
      </c>
      <c r="F15" s="2" t="s">
        <v>187</v>
      </c>
      <c r="G15" s="8" t="s">
        <v>659</v>
      </c>
      <c r="H15" s="8" t="s">
        <v>515</v>
      </c>
      <c r="I15" s="8" t="s">
        <v>143</v>
      </c>
      <c r="J15" s="5" t="s">
        <v>152</v>
      </c>
      <c r="K15" s="2">
        <v>2018</v>
      </c>
      <c r="L15" s="42">
        <v>0.48499999999999999</v>
      </c>
      <c r="M15" s="2">
        <v>2019</v>
      </c>
      <c r="N15" s="45">
        <v>0.45600000000000002</v>
      </c>
      <c r="O15" s="42">
        <f>(($S15-$L15)/21*6)+$L15</f>
        <v>0.57499999999999996</v>
      </c>
      <c r="P15" s="42">
        <f>(($S15-$L15)/21*10)+$L15</f>
        <v>0.63500000000000001</v>
      </c>
      <c r="Q15" s="42">
        <f>(($S15-$L15)/21*14)+$L15</f>
        <v>0.69500000000000006</v>
      </c>
      <c r="R15" s="75">
        <f>(($S15-$L15)/21*18)+$L15</f>
        <v>0.75500000000000012</v>
      </c>
      <c r="S15" s="75">
        <v>0.8</v>
      </c>
      <c r="T15" s="73" t="s">
        <v>625</v>
      </c>
      <c r="U15" s="2" t="s">
        <v>397</v>
      </c>
      <c r="V15" t="s">
        <v>599</v>
      </c>
      <c r="W15" t="s">
        <v>432</v>
      </c>
      <c r="X15" t="s">
        <v>432</v>
      </c>
      <c r="Y15" t="s">
        <v>432</v>
      </c>
      <c r="AA15" s="3" t="s">
        <v>492</v>
      </c>
      <c r="AC15" s="3" t="s">
        <v>492</v>
      </c>
      <c r="AD15" s="2" t="s">
        <v>149</v>
      </c>
    </row>
    <row r="16" spans="1:30" ht="75" hidden="1" x14ac:dyDescent="0.25">
      <c r="A16" s="58"/>
      <c r="B16" s="58" t="s">
        <v>0</v>
      </c>
      <c r="C16" s="58">
        <v>3</v>
      </c>
      <c r="D16" s="2" t="s">
        <v>106</v>
      </c>
      <c r="E16" s="2" t="s">
        <v>107</v>
      </c>
      <c r="F16" s="2" t="s">
        <v>187</v>
      </c>
      <c r="G16" s="55" t="s">
        <v>512</v>
      </c>
      <c r="H16" s="55" t="s">
        <v>483</v>
      </c>
      <c r="I16" s="8" t="s">
        <v>143</v>
      </c>
      <c r="J16" s="2" t="s">
        <v>13</v>
      </c>
      <c r="K16" s="2"/>
      <c r="L16" s="2"/>
      <c r="M16" s="2"/>
      <c r="N16" s="2"/>
      <c r="O16" s="42"/>
      <c r="P16" s="42"/>
      <c r="Q16" s="42"/>
      <c r="R16" s="5"/>
      <c r="S16" s="5"/>
      <c r="T16" s="2"/>
      <c r="U16" s="2" t="s">
        <v>398</v>
      </c>
      <c r="W16" s="3"/>
      <c r="X16" s="3"/>
      <c r="Y16" s="3"/>
      <c r="Z16" s="3"/>
      <c r="AA16" s="3" t="s">
        <v>492</v>
      </c>
      <c r="AB16" s="3"/>
      <c r="AC16" s="3" t="s">
        <v>492</v>
      </c>
      <c r="AD16" s="2"/>
    </row>
    <row r="17" spans="1:30" ht="75" hidden="1" x14ac:dyDescent="0.25">
      <c r="A17" s="58"/>
      <c r="B17" s="58" t="s">
        <v>0</v>
      </c>
      <c r="C17" s="58">
        <v>3</v>
      </c>
      <c r="D17" s="2" t="s">
        <v>106</v>
      </c>
      <c r="E17" s="2" t="s">
        <v>107</v>
      </c>
      <c r="F17" s="2" t="s">
        <v>187</v>
      </c>
      <c r="G17" s="8" t="s">
        <v>474</v>
      </c>
      <c r="H17" s="8" t="s">
        <v>456</v>
      </c>
      <c r="I17" s="8" t="s">
        <v>143</v>
      </c>
      <c r="J17" s="2" t="s">
        <v>436</v>
      </c>
      <c r="K17" s="2">
        <v>2014</v>
      </c>
      <c r="L17" s="2">
        <v>8.1</v>
      </c>
      <c r="M17" s="2"/>
      <c r="N17" s="2"/>
      <c r="O17" s="42"/>
      <c r="P17" s="42"/>
      <c r="Q17" s="42"/>
      <c r="R17" s="5"/>
      <c r="S17" s="5"/>
      <c r="T17" s="2"/>
      <c r="U17" s="2" t="s">
        <v>398</v>
      </c>
      <c r="W17" t="s">
        <v>432</v>
      </c>
      <c r="X17" t="s">
        <v>432</v>
      </c>
      <c r="Y17" t="s">
        <v>432</v>
      </c>
      <c r="AA17" s="3" t="s">
        <v>492</v>
      </c>
      <c r="AC17" s="3" t="s">
        <v>492</v>
      </c>
      <c r="AD17" s="2"/>
    </row>
    <row r="18" spans="1:30" ht="75" x14ac:dyDescent="0.25">
      <c r="A18" s="58" t="s">
        <v>695</v>
      </c>
      <c r="B18" s="58" t="s">
        <v>0</v>
      </c>
      <c r="C18" s="58">
        <v>3</v>
      </c>
      <c r="D18" s="2" t="s">
        <v>106</v>
      </c>
      <c r="E18" s="2" t="s">
        <v>107</v>
      </c>
      <c r="F18" s="2" t="s">
        <v>187</v>
      </c>
      <c r="G18" s="8" t="s">
        <v>511</v>
      </c>
      <c r="H18" s="8" t="s">
        <v>360</v>
      </c>
      <c r="I18" s="8" t="s">
        <v>147</v>
      </c>
      <c r="J18" s="2" t="s">
        <v>12</v>
      </c>
      <c r="K18" s="2">
        <v>2017</v>
      </c>
      <c r="L18" s="42">
        <v>0.57699999999999996</v>
      </c>
      <c r="M18" s="2"/>
      <c r="N18" s="2"/>
      <c r="O18" s="42">
        <f>(($S18-$L18)/21*6)+$L18</f>
        <v>0.5832857142857143</v>
      </c>
      <c r="P18" s="42">
        <f>(($S18-$L18)/21*10)+$L18</f>
        <v>0.58747619047619049</v>
      </c>
      <c r="Q18" s="42">
        <f>(($S18-$L18)/21*14)+$L18</f>
        <v>0.59166666666666667</v>
      </c>
      <c r="R18" s="77">
        <f>(($S18-$L18)/21*18)+$L18</f>
        <v>0.59585714285714286</v>
      </c>
      <c r="S18" s="77">
        <v>0.59899999999999998</v>
      </c>
      <c r="T18" s="73" t="s">
        <v>677</v>
      </c>
      <c r="U18" s="2" t="s">
        <v>397</v>
      </c>
      <c r="V18" t="s">
        <v>599</v>
      </c>
      <c r="W18" t="s">
        <v>432</v>
      </c>
      <c r="X18" t="s">
        <v>432</v>
      </c>
      <c r="Y18" t="s">
        <v>432</v>
      </c>
      <c r="Z18" t="s">
        <v>432</v>
      </c>
      <c r="AA18" s="3" t="s">
        <v>492</v>
      </c>
      <c r="AC18" s="3" t="s">
        <v>492</v>
      </c>
      <c r="AD18" s="2" t="s">
        <v>150</v>
      </c>
    </row>
    <row r="19" spans="1:30" ht="75" x14ac:dyDescent="0.25">
      <c r="A19" s="58" t="s">
        <v>698</v>
      </c>
      <c r="B19" s="58" t="s">
        <v>0</v>
      </c>
      <c r="C19" s="58">
        <v>3</v>
      </c>
      <c r="D19" s="2" t="s">
        <v>106</v>
      </c>
      <c r="E19" s="2" t="s">
        <v>107</v>
      </c>
      <c r="F19" s="2" t="s">
        <v>187</v>
      </c>
      <c r="G19" s="8" t="s">
        <v>509</v>
      </c>
      <c r="H19" s="8" t="s">
        <v>356</v>
      </c>
      <c r="I19" s="8" t="s">
        <v>147</v>
      </c>
      <c r="J19" s="2" t="s">
        <v>12</v>
      </c>
      <c r="K19" s="3">
        <v>2017</v>
      </c>
      <c r="L19" s="42">
        <v>0.125</v>
      </c>
      <c r="M19" s="2"/>
      <c r="N19" s="2"/>
      <c r="O19" s="42">
        <f t="shared" ref="O19:O20" si="0">(($S19-$L19)/21*6)+$L19</f>
        <v>0.11457142857142857</v>
      </c>
      <c r="P19" s="42">
        <f t="shared" ref="P19:P20" si="1">(($S19-$L19)/21*10)+$L19</f>
        <v>0.10761904761904761</v>
      </c>
      <c r="Q19" s="42">
        <f t="shared" ref="Q19:Q20" si="2">(($S19-$L19)/21*14)+$L19</f>
        <v>0.10066666666666667</v>
      </c>
      <c r="R19" s="78">
        <f t="shared" ref="R19:R20" si="3">(($S19-$L19)/21*18)+$L19</f>
        <v>9.3714285714285708E-2</v>
      </c>
      <c r="S19" s="78">
        <v>8.8499999999999995E-2</v>
      </c>
      <c r="T19" s="73" t="s">
        <v>641</v>
      </c>
      <c r="U19" s="2" t="s">
        <v>397</v>
      </c>
      <c r="V19" t="s">
        <v>649</v>
      </c>
      <c r="W19" t="s">
        <v>432</v>
      </c>
      <c r="X19" t="s">
        <v>432</v>
      </c>
      <c r="Y19" t="s">
        <v>432</v>
      </c>
      <c r="AA19" s="3" t="s">
        <v>492</v>
      </c>
      <c r="AC19" s="3" t="s">
        <v>492</v>
      </c>
      <c r="AD19" s="3" t="s">
        <v>149</v>
      </c>
    </row>
    <row r="20" spans="1:30" ht="120" x14ac:dyDescent="0.25">
      <c r="A20" s="58" t="s">
        <v>739</v>
      </c>
      <c r="B20" s="58" t="s">
        <v>0</v>
      </c>
      <c r="C20" s="58">
        <v>3</v>
      </c>
      <c r="D20" s="2" t="s">
        <v>106</v>
      </c>
      <c r="E20" s="2" t="s">
        <v>107</v>
      </c>
      <c r="F20" s="2" t="s">
        <v>187</v>
      </c>
      <c r="G20" s="8" t="s">
        <v>568</v>
      </c>
      <c r="H20" s="8" t="s">
        <v>510</v>
      </c>
      <c r="I20" s="8" t="s">
        <v>147</v>
      </c>
      <c r="J20" s="2" t="s">
        <v>13</v>
      </c>
      <c r="K20" s="2">
        <v>2018</v>
      </c>
      <c r="L20" s="42">
        <v>0.628</v>
      </c>
      <c r="M20" s="2">
        <v>2019</v>
      </c>
      <c r="N20" s="45">
        <v>0.67</v>
      </c>
      <c r="O20" s="42">
        <f t="shared" si="0"/>
        <v>0.67714285714285716</v>
      </c>
      <c r="P20" s="42">
        <f t="shared" si="1"/>
        <v>0.70990476190476193</v>
      </c>
      <c r="Q20" s="42">
        <f t="shared" si="2"/>
        <v>0.7426666666666667</v>
      </c>
      <c r="R20" s="75">
        <f t="shared" si="3"/>
        <v>0.77542857142857147</v>
      </c>
      <c r="S20" s="75">
        <v>0.8</v>
      </c>
      <c r="T20" s="73" t="s">
        <v>676</v>
      </c>
      <c r="U20" s="2" t="s">
        <v>397</v>
      </c>
      <c r="V20" t="s">
        <v>599</v>
      </c>
      <c r="W20" t="s">
        <v>432</v>
      </c>
      <c r="X20" t="s">
        <v>432</v>
      </c>
      <c r="Y20" t="s">
        <v>432</v>
      </c>
      <c r="AA20" s="3" t="s">
        <v>494</v>
      </c>
      <c r="AC20" s="3" t="s">
        <v>492</v>
      </c>
      <c r="AD20" s="2" t="s">
        <v>149</v>
      </c>
    </row>
    <row r="21" spans="1:30" ht="75" hidden="1" x14ac:dyDescent="0.25">
      <c r="A21" s="58"/>
      <c r="B21" s="58" t="s">
        <v>0</v>
      </c>
      <c r="C21" s="58">
        <v>3</v>
      </c>
      <c r="D21" s="2" t="s">
        <v>106</v>
      </c>
      <c r="E21" s="2" t="s">
        <v>107</v>
      </c>
      <c r="F21" s="2" t="s">
        <v>187</v>
      </c>
      <c r="G21" s="8" t="s">
        <v>508</v>
      </c>
      <c r="H21" s="8" t="s">
        <v>357</v>
      </c>
      <c r="I21" s="8" t="s">
        <v>147</v>
      </c>
      <c r="J21" s="2" t="s">
        <v>13</v>
      </c>
      <c r="K21" s="2">
        <v>2018</v>
      </c>
      <c r="L21" s="42">
        <v>0.92100000000000004</v>
      </c>
      <c r="M21" s="2">
        <v>2019</v>
      </c>
      <c r="N21" s="45">
        <v>0.93100000000000005</v>
      </c>
      <c r="O21" s="42"/>
      <c r="P21" s="42"/>
      <c r="Q21" s="42"/>
      <c r="R21" s="5"/>
      <c r="S21" s="5"/>
      <c r="T21" s="2"/>
      <c r="U21" s="2" t="s">
        <v>398</v>
      </c>
      <c r="W21" t="s">
        <v>432</v>
      </c>
      <c r="X21" t="s">
        <v>432</v>
      </c>
      <c r="Y21" t="s">
        <v>432</v>
      </c>
      <c r="AA21" s="3" t="s">
        <v>494</v>
      </c>
      <c r="AC21" s="3" t="s">
        <v>492</v>
      </c>
      <c r="AD21" s="2" t="s">
        <v>149</v>
      </c>
    </row>
    <row r="22" spans="1:30" ht="75" hidden="1" x14ac:dyDescent="0.25">
      <c r="A22" s="58"/>
      <c r="B22" s="58" t="s">
        <v>0</v>
      </c>
      <c r="C22" s="58">
        <v>3</v>
      </c>
      <c r="D22" s="2" t="s">
        <v>106</v>
      </c>
      <c r="E22" s="2" t="s">
        <v>107</v>
      </c>
      <c r="F22" s="2" t="s">
        <v>187</v>
      </c>
      <c r="G22" s="8" t="s">
        <v>358</v>
      </c>
      <c r="H22" s="8" t="s">
        <v>359</v>
      </c>
      <c r="I22" s="8" t="s">
        <v>113</v>
      </c>
      <c r="J22" s="2" t="s">
        <v>14</v>
      </c>
      <c r="K22" s="2">
        <v>2018</v>
      </c>
      <c r="L22" s="2">
        <v>657.5</v>
      </c>
      <c r="M22" s="2"/>
      <c r="N22" s="2"/>
      <c r="O22" s="42"/>
      <c r="P22" s="42"/>
      <c r="Q22" s="42"/>
      <c r="R22" s="5"/>
      <c r="S22" s="5"/>
      <c r="T22" s="2"/>
      <c r="U22" s="2" t="s">
        <v>398</v>
      </c>
      <c r="W22" t="s">
        <v>432</v>
      </c>
      <c r="X22" t="s">
        <v>432</v>
      </c>
      <c r="Y22" t="s">
        <v>432</v>
      </c>
      <c r="AA22" s="3" t="s">
        <v>494</v>
      </c>
      <c r="AC22" s="3" t="s">
        <v>494</v>
      </c>
      <c r="AD22" s="2" t="s">
        <v>149</v>
      </c>
    </row>
    <row r="23" spans="1:30" ht="75" hidden="1" x14ac:dyDescent="0.25">
      <c r="A23" s="58"/>
      <c r="B23" s="58" t="s">
        <v>0</v>
      </c>
      <c r="C23" s="58">
        <v>3</v>
      </c>
      <c r="D23" s="2" t="s">
        <v>106</v>
      </c>
      <c r="E23" s="2" t="s">
        <v>107</v>
      </c>
      <c r="F23" s="2" t="s">
        <v>187</v>
      </c>
      <c r="G23" s="8" t="s">
        <v>507</v>
      </c>
      <c r="H23" s="8" t="s">
        <v>361</v>
      </c>
      <c r="I23" s="8" t="s">
        <v>147</v>
      </c>
      <c r="J23" s="2" t="s">
        <v>12</v>
      </c>
      <c r="K23" s="2">
        <v>2017</v>
      </c>
      <c r="L23" s="42">
        <v>0.64200000000000002</v>
      </c>
      <c r="M23" s="2"/>
      <c r="N23" s="2"/>
      <c r="O23" s="42"/>
      <c r="P23" s="42"/>
      <c r="Q23" s="42"/>
      <c r="R23" s="5"/>
      <c r="S23" s="83">
        <v>0.40200000000000002</v>
      </c>
      <c r="T23" s="73" t="s">
        <v>678</v>
      </c>
      <c r="U23" s="2" t="s">
        <v>398</v>
      </c>
      <c r="W23" t="s">
        <v>432</v>
      </c>
      <c r="X23" t="s">
        <v>432</v>
      </c>
      <c r="Y23" t="s">
        <v>432</v>
      </c>
      <c r="AA23" t="s">
        <v>492</v>
      </c>
      <c r="AC23" t="s">
        <v>492</v>
      </c>
      <c r="AD23" s="2" t="s">
        <v>149</v>
      </c>
    </row>
    <row r="24" spans="1:30" ht="75" hidden="1" x14ac:dyDescent="0.25">
      <c r="A24" s="58"/>
      <c r="B24" s="58" t="s">
        <v>0</v>
      </c>
      <c r="C24" s="58">
        <v>3</v>
      </c>
      <c r="D24" s="2" t="s">
        <v>106</v>
      </c>
      <c r="E24" s="2" t="s">
        <v>107</v>
      </c>
      <c r="F24" s="2" t="s">
        <v>187</v>
      </c>
      <c r="G24" s="8" t="s">
        <v>506</v>
      </c>
      <c r="H24" s="8" t="s">
        <v>362</v>
      </c>
      <c r="I24" s="8" t="s">
        <v>143</v>
      </c>
      <c r="J24" s="2" t="s">
        <v>12</v>
      </c>
      <c r="K24" s="2">
        <v>2017</v>
      </c>
      <c r="L24" s="42">
        <v>0.125</v>
      </c>
      <c r="M24" s="2"/>
      <c r="N24" s="2"/>
      <c r="O24" s="42"/>
      <c r="P24" s="42"/>
      <c r="Q24" s="42"/>
      <c r="R24" s="5"/>
      <c r="S24" s="83">
        <v>8.5999999999999993E-2</v>
      </c>
      <c r="T24" s="73" t="s">
        <v>679</v>
      </c>
      <c r="U24" s="2" t="s">
        <v>398</v>
      </c>
      <c r="W24" t="s">
        <v>432</v>
      </c>
      <c r="X24" t="s">
        <v>432</v>
      </c>
      <c r="Y24" t="s">
        <v>432</v>
      </c>
      <c r="AA24" t="s">
        <v>492</v>
      </c>
      <c r="AC24" t="s">
        <v>492</v>
      </c>
      <c r="AD24" s="2"/>
    </row>
    <row r="25" spans="1:30" ht="75" hidden="1" x14ac:dyDescent="0.25">
      <c r="A25" s="58"/>
      <c r="B25" s="58" t="s">
        <v>0</v>
      </c>
      <c r="C25" s="58">
        <v>3</v>
      </c>
      <c r="D25" s="2" t="s">
        <v>106</v>
      </c>
      <c r="E25" s="2" t="s">
        <v>107</v>
      </c>
      <c r="F25" s="2" t="s">
        <v>187</v>
      </c>
      <c r="G25" s="8" t="s">
        <v>505</v>
      </c>
      <c r="H25" s="8" t="s">
        <v>363</v>
      </c>
      <c r="I25" s="8" t="s">
        <v>113</v>
      </c>
      <c r="J25" s="2" t="s">
        <v>13</v>
      </c>
      <c r="K25" s="2">
        <v>2018</v>
      </c>
      <c r="L25" s="42">
        <v>0.16</v>
      </c>
      <c r="M25" s="2">
        <v>2019</v>
      </c>
      <c r="N25" s="42">
        <v>0.156</v>
      </c>
      <c r="O25" s="42"/>
      <c r="P25" s="42"/>
      <c r="Q25" s="42"/>
      <c r="R25" s="5"/>
      <c r="S25" s="5"/>
      <c r="T25" s="2"/>
      <c r="U25" s="2" t="s">
        <v>398</v>
      </c>
      <c r="W25" t="s">
        <v>432</v>
      </c>
      <c r="X25" t="s">
        <v>432</v>
      </c>
      <c r="Y25" t="s">
        <v>432</v>
      </c>
      <c r="AA25" t="s">
        <v>492</v>
      </c>
      <c r="AC25" t="s">
        <v>497</v>
      </c>
      <c r="AD25" s="2" t="s">
        <v>150</v>
      </c>
    </row>
    <row r="26" spans="1:30" ht="45" hidden="1" x14ac:dyDescent="0.25">
      <c r="A26" s="58"/>
      <c r="B26" s="58" t="s">
        <v>0</v>
      </c>
      <c r="C26" s="58">
        <v>3</v>
      </c>
      <c r="D26" s="2" t="s">
        <v>106</v>
      </c>
      <c r="E26" s="2" t="s">
        <v>108</v>
      </c>
      <c r="F26" s="2" t="s">
        <v>187</v>
      </c>
      <c r="G26" s="8" t="s">
        <v>504</v>
      </c>
      <c r="H26" s="8" t="s">
        <v>496</v>
      </c>
      <c r="I26" s="8" t="s">
        <v>113</v>
      </c>
      <c r="J26" s="2" t="s">
        <v>14</v>
      </c>
      <c r="K26" s="2">
        <v>2018</v>
      </c>
      <c r="L26" s="2">
        <v>826.3</v>
      </c>
      <c r="M26" s="2"/>
      <c r="N26" s="2"/>
      <c r="O26" s="42"/>
      <c r="P26" s="42"/>
      <c r="Q26" s="42"/>
      <c r="R26" s="5"/>
      <c r="S26" s="5"/>
      <c r="T26" s="2"/>
      <c r="U26" s="2" t="s">
        <v>398</v>
      </c>
      <c r="W26" t="s">
        <v>432</v>
      </c>
      <c r="X26" t="s">
        <v>432</v>
      </c>
      <c r="Y26" t="s">
        <v>432</v>
      </c>
      <c r="AA26" t="s">
        <v>492</v>
      </c>
      <c r="AC26" t="s">
        <v>492</v>
      </c>
      <c r="AD26" s="2" t="s">
        <v>150</v>
      </c>
    </row>
    <row r="27" spans="1:30" ht="75" hidden="1" x14ac:dyDescent="0.25">
      <c r="A27" s="58"/>
      <c r="B27" s="58" t="s">
        <v>0</v>
      </c>
      <c r="C27" s="58">
        <v>3</v>
      </c>
      <c r="D27" s="2" t="s">
        <v>106</v>
      </c>
      <c r="E27" s="2" t="s">
        <v>107</v>
      </c>
      <c r="F27" s="2" t="s">
        <v>187</v>
      </c>
      <c r="G27" s="8" t="s">
        <v>153</v>
      </c>
      <c r="H27" s="8" t="s">
        <v>153</v>
      </c>
      <c r="I27" s="8" t="s">
        <v>146</v>
      </c>
      <c r="J27" s="2" t="s">
        <v>151</v>
      </c>
      <c r="K27" s="2" t="s">
        <v>354</v>
      </c>
      <c r="L27" s="29">
        <v>0.92910000000000004</v>
      </c>
      <c r="M27" s="2" t="s">
        <v>606</v>
      </c>
      <c r="N27" s="29">
        <v>0.93269999999999997</v>
      </c>
      <c r="O27" s="42"/>
      <c r="P27" s="42"/>
      <c r="Q27" s="42"/>
      <c r="R27" s="5"/>
      <c r="S27" s="5"/>
      <c r="T27" s="2"/>
      <c r="U27" s="2" t="s">
        <v>398</v>
      </c>
      <c r="W27" t="s">
        <v>432</v>
      </c>
      <c r="X27" t="s">
        <v>149</v>
      </c>
      <c r="Y27" t="s">
        <v>149</v>
      </c>
      <c r="AA27" t="s">
        <v>492</v>
      </c>
      <c r="AC27" t="s">
        <v>494</v>
      </c>
      <c r="AD27" s="2" t="s">
        <v>149</v>
      </c>
    </row>
    <row r="28" spans="1:30" ht="75" hidden="1" x14ac:dyDescent="0.25">
      <c r="A28" s="58"/>
      <c r="B28" s="58" t="s">
        <v>0</v>
      </c>
      <c r="C28" s="58">
        <v>3</v>
      </c>
      <c r="D28" s="2" t="s">
        <v>106</v>
      </c>
      <c r="E28" s="2" t="s">
        <v>107</v>
      </c>
      <c r="F28" s="2" t="s">
        <v>187</v>
      </c>
      <c r="G28" s="8" t="s">
        <v>154</v>
      </c>
      <c r="H28" s="8" t="s">
        <v>154</v>
      </c>
      <c r="I28" s="8" t="s">
        <v>146</v>
      </c>
      <c r="J28" s="2" t="s">
        <v>151</v>
      </c>
      <c r="K28" s="2" t="s">
        <v>354</v>
      </c>
      <c r="L28" s="29">
        <v>1.0179</v>
      </c>
      <c r="M28" s="2" t="s">
        <v>606</v>
      </c>
      <c r="N28" s="29">
        <v>1.0190999999999999</v>
      </c>
      <c r="O28" s="42"/>
      <c r="P28" s="42"/>
      <c r="Q28" s="42"/>
      <c r="R28" s="5"/>
      <c r="S28" s="5"/>
      <c r="T28" s="2"/>
      <c r="U28" s="2" t="s">
        <v>398</v>
      </c>
      <c r="W28" t="s">
        <v>432</v>
      </c>
      <c r="X28" t="s">
        <v>149</v>
      </c>
      <c r="Y28" t="s">
        <v>149</v>
      </c>
      <c r="AA28" t="s">
        <v>492</v>
      </c>
      <c r="AC28" t="s">
        <v>494</v>
      </c>
      <c r="AD28" s="2" t="s">
        <v>149</v>
      </c>
    </row>
    <row r="29" spans="1:30" ht="75" hidden="1" x14ac:dyDescent="0.25">
      <c r="A29" s="58"/>
      <c r="B29" s="58" t="s">
        <v>0</v>
      </c>
      <c r="C29" s="58">
        <v>3</v>
      </c>
      <c r="D29" s="2" t="s">
        <v>106</v>
      </c>
      <c r="E29" s="2" t="s">
        <v>107</v>
      </c>
      <c r="F29" s="2" t="s">
        <v>187</v>
      </c>
      <c r="G29" s="8" t="s">
        <v>475</v>
      </c>
      <c r="H29" s="8" t="s">
        <v>155</v>
      </c>
      <c r="I29" s="8" t="s">
        <v>146</v>
      </c>
      <c r="J29" s="2" t="s">
        <v>151</v>
      </c>
      <c r="K29" s="2" t="s">
        <v>354</v>
      </c>
      <c r="L29" s="29">
        <v>0.80920000000000003</v>
      </c>
      <c r="M29" s="2" t="s">
        <v>606</v>
      </c>
      <c r="N29" s="29">
        <v>0.7923</v>
      </c>
      <c r="O29" s="42"/>
      <c r="P29" s="42"/>
      <c r="Q29" s="42"/>
      <c r="R29" s="5"/>
      <c r="S29" s="5"/>
      <c r="T29" s="2"/>
      <c r="U29" s="2" t="s">
        <v>398</v>
      </c>
      <c r="W29" t="s">
        <v>432</v>
      </c>
      <c r="X29" t="s">
        <v>149</v>
      </c>
      <c r="Y29" t="s">
        <v>149</v>
      </c>
      <c r="AA29" s="3" t="s">
        <v>494</v>
      </c>
      <c r="AC29" s="3" t="s">
        <v>494</v>
      </c>
      <c r="AD29" s="2" t="s">
        <v>149</v>
      </c>
    </row>
    <row r="30" spans="1:30" ht="75" hidden="1" x14ac:dyDescent="0.25">
      <c r="A30" s="58"/>
      <c r="B30" s="58" t="s">
        <v>0</v>
      </c>
      <c r="C30" s="58">
        <v>3</v>
      </c>
      <c r="D30" s="2" t="s">
        <v>106</v>
      </c>
      <c r="E30" s="2" t="s">
        <v>107</v>
      </c>
      <c r="F30" s="2" t="s">
        <v>187</v>
      </c>
      <c r="G30" s="8" t="s">
        <v>156</v>
      </c>
      <c r="H30" s="8" t="s">
        <v>156</v>
      </c>
      <c r="I30" s="8" t="s">
        <v>146</v>
      </c>
      <c r="J30" s="2" t="s">
        <v>151</v>
      </c>
      <c r="K30" s="2" t="s">
        <v>354</v>
      </c>
      <c r="L30" s="29">
        <v>0.85709999999999997</v>
      </c>
      <c r="M30" s="2" t="s">
        <v>606</v>
      </c>
      <c r="N30" s="29">
        <v>0.77049999999999996</v>
      </c>
      <c r="O30" s="42"/>
      <c r="P30" s="42"/>
      <c r="Q30" s="42"/>
      <c r="R30" s="5"/>
      <c r="S30" s="5"/>
      <c r="T30" s="2"/>
      <c r="U30" s="2" t="s">
        <v>398</v>
      </c>
      <c r="W30" t="s">
        <v>432</v>
      </c>
      <c r="X30" t="s">
        <v>149</v>
      </c>
      <c r="Y30" t="s">
        <v>149</v>
      </c>
      <c r="AA30" s="3" t="s">
        <v>494</v>
      </c>
      <c r="AC30" s="3" t="s">
        <v>497</v>
      </c>
      <c r="AD30" s="2" t="s">
        <v>149</v>
      </c>
    </row>
    <row r="31" spans="1:30" ht="105" hidden="1" x14ac:dyDescent="0.25">
      <c r="A31" s="58"/>
      <c r="B31" s="58" t="s">
        <v>0</v>
      </c>
      <c r="C31" s="58">
        <v>3</v>
      </c>
      <c r="D31" s="2" t="s">
        <v>106</v>
      </c>
      <c r="E31" s="2" t="s">
        <v>107</v>
      </c>
      <c r="F31" s="2" t="s">
        <v>187</v>
      </c>
      <c r="G31" s="8" t="s">
        <v>157</v>
      </c>
      <c r="H31" s="8" t="s">
        <v>467</v>
      </c>
      <c r="I31" s="8" t="s">
        <v>146</v>
      </c>
      <c r="J31" s="2" t="s">
        <v>469</v>
      </c>
      <c r="K31" s="2" t="s">
        <v>354</v>
      </c>
      <c r="L31" s="20"/>
      <c r="M31" s="2"/>
      <c r="N31" s="2"/>
      <c r="O31" s="42"/>
      <c r="P31" s="42"/>
      <c r="Q31" s="42"/>
      <c r="R31" s="5"/>
      <c r="S31" s="5" t="s">
        <v>428</v>
      </c>
      <c r="T31" s="70" t="s">
        <v>430</v>
      </c>
      <c r="U31" s="2" t="s">
        <v>398</v>
      </c>
      <c r="W31" s="3" t="s">
        <v>149</v>
      </c>
      <c r="X31" s="3" t="s">
        <v>149</v>
      </c>
      <c r="Y31" s="3" t="s">
        <v>149</v>
      </c>
      <c r="Z31" s="3" t="s">
        <v>432</v>
      </c>
      <c r="AA31" s="3" t="s">
        <v>494</v>
      </c>
      <c r="AB31" s="3"/>
      <c r="AC31" s="3" t="s">
        <v>494</v>
      </c>
      <c r="AD31" s="2" t="s">
        <v>149</v>
      </c>
    </row>
    <row r="32" spans="1:30" ht="75" hidden="1" x14ac:dyDescent="0.25">
      <c r="A32" s="58"/>
      <c r="B32" s="58" t="s">
        <v>0</v>
      </c>
      <c r="C32" s="58">
        <v>3</v>
      </c>
      <c r="D32" s="2" t="s">
        <v>106</v>
      </c>
      <c r="E32" s="2" t="s">
        <v>107</v>
      </c>
      <c r="F32" s="2" t="s">
        <v>187</v>
      </c>
      <c r="G32" s="8" t="s">
        <v>463</v>
      </c>
      <c r="H32" s="8" t="s">
        <v>468</v>
      </c>
      <c r="I32" s="8" t="s">
        <v>146</v>
      </c>
      <c r="J32" s="2" t="s">
        <v>464</v>
      </c>
      <c r="K32" s="2" t="s">
        <v>354</v>
      </c>
      <c r="L32" s="20"/>
      <c r="M32" s="2"/>
      <c r="N32" s="2"/>
      <c r="O32" s="42"/>
      <c r="P32" s="42"/>
      <c r="Q32" s="42"/>
      <c r="R32" s="5"/>
      <c r="S32" s="5"/>
      <c r="T32" s="2"/>
      <c r="U32" s="2" t="s">
        <v>398</v>
      </c>
      <c r="W32" s="3"/>
      <c r="X32" s="3"/>
      <c r="Y32" s="3"/>
      <c r="Z32" s="3"/>
      <c r="AA32" s="3" t="s">
        <v>494</v>
      </c>
      <c r="AB32" s="3"/>
      <c r="AC32" s="3" t="s">
        <v>494</v>
      </c>
      <c r="AD32" s="2" t="s">
        <v>149</v>
      </c>
    </row>
    <row r="33" spans="1:30" ht="75" x14ac:dyDescent="0.25">
      <c r="A33" s="58" t="s">
        <v>740</v>
      </c>
      <c r="B33" s="58" t="s">
        <v>0</v>
      </c>
      <c r="C33" s="58">
        <v>3</v>
      </c>
      <c r="D33" s="2" t="s">
        <v>106</v>
      </c>
      <c r="E33" s="2" t="s">
        <v>107</v>
      </c>
      <c r="F33" s="2" t="s">
        <v>187</v>
      </c>
      <c r="G33" s="8" t="s">
        <v>660</v>
      </c>
      <c r="H33" s="8" t="s">
        <v>656</v>
      </c>
      <c r="I33" s="8" t="s">
        <v>147</v>
      </c>
      <c r="J33" s="2" t="s">
        <v>24</v>
      </c>
      <c r="K33" s="2">
        <v>2018</v>
      </c>
      <c r="L33" s="45">
        <f xml:space="preserve"> 1 -14.9%</f>
        <v>0.85099999999999998</v>
      </c>
      <c r="M33" s="3"/>
      <c r="N33" s="3"/>
      <c r="O33" s="42">
        <f>(($S33-$L33)/21*6)+$L33</f>
        <v>0.86471428571428566</v>
      </c>
      <c r="P33" s="42">
        <f>(($S33-$L33)/21*10)+$L33</f>
        <v>0.87385714285714289</v>
      </c>
      <c r="Q33" s="42">
        <f>(($S33-$L33)/21*14)+$L33</f>
        <v>0.88300000000000001</v>
      </c>
      <c r="R33" s="75">
        <f>(($S33-$L33)/21*18)+$L33</f>
        <v>0.89214285714285713</v>
      </c>
      <c r="S33" s="75">
        <f xml:space="preserve"> 1 -10.1%</f>
        <v>0.89900000000000002</v>
      </c>
      <c r="T33" s="73" t="s">
        <v>639</v>
      </c>
      <c r="U33" s="2" t="s">
        <v>397</v>
      </c>
      <c r="V33" t="s">
        <v>599</v>
      </c>
      <c r="W33" t="s">
        <v>432</v>
      </c>
      <c r="X33" t="s">
        <v>432</v>
      </c>
      <c r="Y33" t="s">
        <v>432</v>
      </c>
      <c r="AA33" s="3" t="s">
        <v>494</v>
      </c>
      <c r="AC33" s="3" t="s">
        <v>494</v>
      </c>
      <c r="AD33" s="2" t="s">
        <v>149</v>
      </c>
    </row>
    <row r="34" spans="1:30" ht="75" hidden="1" x14ac:dyDescent="0.25">
      <c r="A34" s="58"/>
      <c r="B34" s="58" t="s">
        <v>0</v>
      </c>
      <c r="C34" s="58">
        <v>3</v>
      </c>
      <c r="D34" s="2" t="s">
        <v>106</v>
      </c>
      <c r="E34" s="2" t="s">
        <v>107</v>
      </c>
      <c r="F34" s="2" t="s">
        <v>187</v>
      </c>
      <c r="G34" s="8" t="s">
        <v>517</v>
      </c>
      <c r="H34" s="20" t="s">
        <v>516</v>
      </c>
      <c r="I34" s="8" t="s">
        <v>113</v>
      </c>
      <c r="J34" s="2" t="s">
        <v>15</v>
      </c>
      <c r="K34" s="2">
        <v>2018</v>
      </c>
      <c r="L34" s="2">
        <v>677</v>
      </c>
      <c r="M34" s="2">
        <v>2019</v>
      </c>
      <c r="N34" s="2">
        <v>628</v>
      </c>
      <c r="O34" s="42"/>
      <c r="P34" s="42"/>
      <c r="Q34" s="42"/>
      <c r="R34" s="5"/>
      <c r="S34" s="5"/>
      <c r="T34" s="2"/>
      <c r="U34" s="2" t="s">
        <v>398</v>
      </c>
      <c r="W34" t="s">
        <v>432</v>
      </c>
      <c r="AA34" s="3" t="s">
        <v>494</v>
      </c>
      <c r="AC34" s="3" t="s">
        <v>492</v>
      </c>
      <c r="AD34" s="2" t="s">
        <v>149</v>
      </c>
    </row>
    <row r="35" spans="1:30" ht="75" hidden="1" x14ac:dyDescent="0.25">
      <c r="A35" s="58"/>
      <c r="B35" s="58" t="s">
        <v>0</v>
      </c>
      <c r="C35" s="58">
        <v>3</v>
      </c>
      <c r="D35" s="2" t="s">
        <v>106</v>
      </c>
      <c r="E35" s="2" t="s">
        <v>107</v>
      </c>
      <c r="F35" s="2" t="s">
        <v>187</v>
      </c>
      <c r="G35" s="8" t="s">
        <v>424</v>
      </c>
      <c r="H35" s="8" t="s">
        <v>425</v>
      </c>
      <c r="I35" s="8"/>
      <c r="J35" s="2" t="s">
        <v>422</v>
      </c>
      <c r="K35" s="2"/>
      <c r="L35" s="2"/>
      <c r="M35" s="2"/>
      <c r="N35" s="2"/>
      <c r="O35" s="42"/>
      <c r="P35" s="42"/>
      <c r="Q35" s="42"/>
      <c r="R35" s="77"/>
      <c r="S35" s="77">
        <v>0.9</v>
      </c>
      <c r="T35" s="70" t="s">
        <v>490</v>
      </c>
      <c r="U35" s="2" t="s">
        <v>398</v>
      </c>
      <c r="W35" s="3"/>
      <c r="X35" s="3"/>
      <c r="Y35" s="3"/>
      <c r="Z35" s="3"/>
      <c r="AA35" s="3" t="s">
        <v>498</v>
      </c>
      <c r="AB35" s="3"/>
      <c r="AC35" s="3" t="s">
        <v>497</v>
      </c>
      <c r="AD35" s="2"/>
    </row>
    <row r="36" spans="1:30" ht="75" hidden="1" x14ac:dyDescent="0.25">
      <c r="A36" s="58"/>
      <c r="B36" s="58" t="s">
        <v>0</v>
      </c>
      <c r="C36" s="58">
        <v>3</v>
      </c>
      <c r="D36" s="2" t="s">
        <v>106</v>
      </c>
      <c r="E36" s="2" t="s">
        <v>107</v>
      </c>
      <c r="F36" s="2" t="s">
        <v>187</v>
      </c>
      <c r="G36" s="8" t="s">
        <v>423</v>
      </c>
      <c r="H36" s="8" t="s">
        <v>426</v>
      </c>
      <c r="I36" s="8"/>
      <c r="J36" s="2" t="s">
        <v>422</v>
      </c>
      <c r="K36" s="2"/>
      <c r="L36" s="2"/>
      <c r="M36" s="2"/>
      <c r="N36" s="2"/>
      <c r="O36" s="42"/>
      <c r="P36" s="42"/>
      <c r="Q36" s="42"/>
      <c r="R36" s="5"/>
      <c r="S36" s="5"/>
      <c r="T36" s="2"/>
      <c r="U36" s="2" t="s">
        <v>398</v>
      </c>
      <c r="W36" s="3"/>
      <c r="X36" s="3"/>
      <c r="Y36" s="3"/>
      <c r="Z36" s="3"/>
      <c r="AA36" s="3" t="s">
        <v>498</v>
      </c>
      <c r="AB36" s="3"/>
      <c r="AC36" s="3" t="s">
        <v>497</v>
      </c>
      <c r="AD36" s="2"/>
    </row>
    <row r="37" spans="1:30" ht="75" hidden="1" x14ac:dyDescent="0.25">
      <c r="A37" s="58"/>
      <c r="B37" s="58" t="s">
        <v>0</v>
      </c>
      <c r="C37" s="58">
        <v>3</v>
      </c>
      <c r="D37" s="2" t="s">
        <v>106</v>
      </c>
      <c r="E37" s="2" t="s">
        <v>107</v>
      </c>
      <c r="F37" s="2" t="s">
        <v>187</v>
      </c>
      <c r="G37" s="8" t="s">
        <v>476</v>
      </c>
      <c r="H37" s="8" t="s">
        <v>402</v>
      </c>
      <c r="I37" s="8"/>
      <c r="J37" s="2" t="s">
        <v>386</v>
      </c>
      <c r="K37" s="2">
        <v>2015</v>
      </c>
      <c r="L37" s="2">
        <v>7.8</v>
      </c>
      <c r="M37" s="2"/>
      <c r="N37" s="2"/>
      <c r="O37" s="42"/>
      <c r="P37" s="42"/>
      <c r="Q37" s="42"/>
      <c r="R37" s="5"/>
      <c r="S37" s="5"/>
      <c r="T37" s="2"/>
      <c r="U37" s="2" t="s">
        <v>398</v>
      </c>
      <c r="W37" t="s">
        <v>432</v>
      </c>
      <c r="X37" t="s">
        <v>432</v>
      </c>
      <c r="Y37" t="s">
        <v>432</v>
      </c>
      <c r="AA37" s="3" t="s">
        <v>494</v>
      </c>
      <c r="AC37" s="3" t="s">
        <v>492</v>
      </c>
      <c r="AD37" s="2" t="s">
        <v>149</v>
      </c>
    </row>
    <row r="38" spans="1:30" ht="60" hidden="1" x14ac:dyDescent="0.25">
      <c r="A38" s="58"/>
      <c r="B38" s="58" t="s">
        <v>0</v>
      </c>
      <c r="C38" s="58">
        <v>4</v>
      </c>
      <c r="D38" s="2" t="s">
        <v>109</v>
      </c>
      <c r="E38" s="2" t="s">
        <v>110</v>
      </c>
      <c r="F38" s="2" t="s">
        <v>582</v>
      </c>
      <c r="G38" s="8" t="s">
        <v>440</v>
      </c>
      <c r="H38" s="8" t="s">
        <v>542</v>
      </c>
      <c r="I38" s="8" t="s">
        <v>113</v>
      </c>
      <c r="J38" s="2" t="s">
        <v>159</v>
      </c>
      <c r="K38" s="2">
        <v>2018</v>
      </c>
      <c r="L38" s="2">
        <v>58</v>
      </c>
      <c r="M38" s="2">
        <v>2019</v>
      </c>
      <c r="N38" s="2">
        <v>49</v>
      </c>
      <c r="O38" s="42"/>
      <c r="P38" s="42"/>
      <c r="Q38" s="42"/>
      <c r="R38" s="5"/>
      <c r="S38" s="5"/>
      <c r="T38" s="2"/>
      <c r="U38" s="2" t="s">
        <v>398</v>
      </c>
      <c r="W38" t="s">
        <v>432</v>
      </c>
      <c r="X38" t="s">
        <v>432</v>
      </c>
      <c r="Z38" s="3"/>
      <c r="AA38" s="3" t="s">
        <v>492</v>
      </c>
      <c r="AC38" s="3" t="s">
        <v>494</v>
      </c>
      <c r="AD38" s="2" t="s">
        <v>149</v>
      </c>
    </row>
    <row r="39" spans="1:30" ht="45" hidden="1" x14ac:dyDescent="0.25">
      <c r="A39" s="58"/>
      <c r="B39" s="58" t="s">
        <v>0</v>
      </c>
      <c r="C39" s="58">
        <v>4</v>
      </c>
      <c r="D39" s="2" t="s">
        <v>109</v>
      </c>
      <c r="E39" s="2" t="s">
        <v>110</v>
      </c>
      <c r="F39" s="2" t="s">
        <v>582</v>
      </c>
      <c r="G39" s="8" t="s">
        <v>551</v>
      </c>
      <c r="H39" s="8" t="s">
        <v>387</v>
      </c>
      <c r="I39" s="8"/>
      <c r="J39" s="2" t="s">
        <v>680</v>
      </c>
      <c r="K39" s="2">
        <v>2014</v>
      </c>
      <c r="L39" s="42">
        <v>0.54600000000000004</v>
      </c>
      <c r="M39" s="2"/>
      <c r="N39" s="2"/>
      <c r="O39" s="42"/>
      <c r="P39" s="42"/>
      <c r="Q39" s="42"/>
      <c r="R39" s="5"/>
      <c r="S39" s="5"/>
      <c r="T39" s="2"/>
      <c r="U39" s="2" t="s">
        <v>398</v>
      </c>
      <c r="W39" t="s">
        <v>432</v>
      </c>
      <c r="X39" t="s">
        <v>432</v>
      </c>
      <c r="Y39" t="s">
        <v>432</v>
      </c>
      <c r="AA39" s="3" t="s">
        <v>494</v>
      </c>
      <c r="AC39" s="3" t="s">
        <v>492</v>
      </c>
      <c r="AD39" s="2" t="s">
        <v>149</v>
      </c>
    </row>
    <row r="40" spans="1:30" ht="45" hidden="1" x14ac:dyDescent="0.25">
      <c r="A40" s="58"/>
      <c r="B40" s="58" t="s">
        <v>0</v>
      </c>
      <c r="C40" s="58">
        <v>4</v>
      </c>
      <c r="D40" s="2" t="s">
        <v>109</v>
      </c>
      <c r="E40" s="2" t="s">
        <v>110</v>
      </c>
      <c r="F40" s="2" t="s">
        <v>582</v>
      </c>
      <c r="G40" s="8" t="s">
        <v>552</v>
      </c>
      <c r="H40" s="8" t="s">
        <v>460</v>
      </c>
      <c r="I40" s="8" t="s">
        <v>388</v>
      </c>
      <c r="J40" s="2" t="s">
        <v>389</v>
      </c>
      <c r="K40" s="2"/>
      <c r="L40" s="2"/>
      <c r="M40" s="2">
        <v>2019</v>
      </c>
      <c r="N40" s="2"/>
      <c r="O40" s="42"/>
      <c r="P40" s="42"/>
      <c r="Q40" s="42"/>
      <c r="R40" s="5"/>
      <c r="S40" s="5"/>
      <c r="T40" s="2"/>
      <c r="U40" s="2" t="s">
        <v>398</v>
      </c>
      <c r="W40" s="3"/>
      <c r="X40" s="3" t="s">
        <v>432</v>
      </c>
      <c r="Y40" s="3"/>
      <c r="Z40" s="3"/>
      <c r="AA40" s="3" t="s">
        <v>498</v>
      </c>
      <c r="AB40" s="3"/>
      <c r="AC40" s="3" t="s">
        <v>495</v>
      </c>
      <c r="AD40" s="2" t="s">
        <v>149</v>
      </c>
    </row>
    <row r="41" spans="1:30" ht="45" hidden="1" x14ac:dyDescent="0.25">
      <c r="A41" s="58"/>
      <c r="B41" s="58" t="s">
        <v>0</v>
      </c>
      <c r="C41" s="58">
        <v>4</v>
      </c>
      <c r="D41" s="2" t="s">
        <v>109</v>
      </c>
      <c r="E41" s="2" t="s">
        <v>110</v>
      </c>
      <c r="F41" s="2" t="s">
        <v>582</v>
      </c>
      <c r="G41" s="8" t="s">
        <v>553</v>
      </c>
      <c r="H41" s="8" t="s">
        <v>390</v>
      </c>
      <c r="I41" s="8" t="s">
        <v>388</v>
      </c>
      <c r="J41" s="2" t="s">
        <v>391</v>
      </c>
      <c r="K41" s="2">
        <v>2018</v>
      </c>
      <c r="L41" s="2"/>
      <c r="M41" s="2">
        <v>2019</v>
      </c>
      <c r="N41" s="2"/>
      <c r="O41" s="42"/>
      <c r="P41" s="42"/>
      <c r="Q41" s="42"/>
      <c r="R41" s="5"/>
      <c r="S41" s="5"/>
      <c r="T41" s="2"/>
      <c r="U41" s="2" t="s">
        <v>398</v>
      </c>
      <c r="V41" s="2"/>
      <c r="W41" s="3"/>
      <c r="X41" s="3" t="s">
        <v>432</v>
      </c>
      <c r="Y41" s="3"/>
      <c r="Z41" s="3"/>
      <c r="AA41" s="3" t="s">
        <v>498</v>
      </c>
      <c r="AB41" s="3"/>
      <c r="AC41" s="3" t="s">
        <v>495</v>
      </c>
      <c r="AD41" s="2" t="s">
        <v>149</v>
      </c>
    </row>
    <row r="42" spans="1:30" ht="45" hidden="1" x14ac:dyDescent="0.25">
      <c r="A42" s="58"/>
      <c r="B42" s="58" t="s">
        <v>0</v>
      </c>
      <c r="C42" s="58">
        <v>4</v>
      </c>
      <c r="D42" s="2" t="s">
        <v>109</v>
      </c>
      <c r="E42" s="2" t="s">
        <v>110</v>
      </c>
      <c r="F42" s="2" t="s">
        <v>582</v>
      </c>
      <c r="G42" s="8" t="s">
        <v>554</v>
      </c>
      <c r="H42" s="8" t="s">
        <v>392</v>
      </c>
      <c r="I42" s="8" t="s">
        <v>388</v>
      </c>
      <c r="J42" s="2" t="s">
        <v>393</v>
      </c>
      <c r="K42" s="2">
        <v>2018</v>
      </c>
      <c r="L42" s="31">
        <v>475940</v>
      </c>
      <c r="M42" s="2">
        <v>2019</v>
      </c>
      <c r="N42" s="31">
        <v>529094</v>
      </c>
      <c r="O42" s="42"/>
      <c r="P42" s="42"/>
      <c r="Q42" s="42"/>
      <c r="R42" s="5"/>
      <c r="S42" s="5"/>
      <c r="T42" s="2"/>
      <c r="U42" s="2" t="s">
        <v>398</v>
      </c>
      <c r="W42" t="s">
        <v>432</v>
      </c>
      <c r="X42" t="s">
        <v>432</v>
      </c>
      <c r="Y42" t="s">
        <v>432</v>
      </c>
      <c r="AA42" s="3" t="s">
        <v>498</v>
      </c>
      <c r="AB42" s="3"/>
      <c r="AC42" s="3" t="s">
        <v>495</v>
      </c>
      <c r="AD42" s="2" t="s">
        <v>149</v>
      </c>
    </row>
    <row r="43" spans="1:30" ht="45" hidden="1" x14ac:dyDescent="0.25">
      <c r="A43" s="58"/>
      <c r="B43" s="58" t="s">
        <v>0</v>
      </c>
      <c r="C43" s="58">
        <v>4</v>
      </c>
      <c r="D43" s="2" t="s">
        <v>109</v>
      </c>
      <c r="E43" s="2" t="s">
        <v>110</v>
      </c>
      <c r="F43" s="2" t="s">
        <v>582</v>
      </c>
      <c r="G43" s="8" t="s">
        <v>519</v>
      </c>
      <c r="H43" s="8" t="s">
        <v>518</v>
      </c>
      <c r="I43" s="8" t="s">
        <v>147</v>
      </c>
      <c r="J43" s="2" t="s">
        <v>13</v>
      </c>
      <c r="K43" s="2">
        <v>2018</v>
      </c>
      <c r="L43" s="28">
        <v>0.38</v>
      </c>
      <c r="M43" s="2">
        <v>2019</v>
      </c>
      <c r="N43" s="29">
        <v>0.33500000000000002</v>
      </c>
      <c r="O43" s="42"/>
      <c r="P43" s="42"/>
      <c r="Q43" s="42"/>
      <c r="R43" s="5"/>
      <c r="S43" s="5"/>
      <c r="T43" s="2"/>
      <c r="U43" s="2" t="s">
        <v>398</v>
      </c>
      <c r="W43" t="s">
        <v>432</v>
      </c>
      <c r="X43" t="s">
        <v>432</v>
      </c>
      <c r="Y43" t="s">
        <v>432</v>
      </c>
      <c r="AA43" s="3" t="s">
        <v>494</v>
      </c>
      <c r="AC43" s="3" t="s">
        <v>492</v>
      </c>
      <c r="AD43" s="2"/>
    </row>
    <row r="44" spans="1:30" ht="45" x14ac:dyDescent="0.25">
      <c r="A44" s="58" t="s">
        <v>696</v>
      </c>
      <c r="B44" s="58" t="s">
        <v>0</v>
      </c>
      <c r="C44" s="58">
        <v>4</v>
      </c>
      <c r="D44" s="2" t="s">
        <v>109</v>
      </c>
      <c r="E44" s="2" t="s">
        <v>110</v>
      </c>
      <c r="F44" s="2" t="s">
        <v>582</v>
      </c>
      <c r="G44" s="8" t="s">
        <v>661</v>
      </c>
      <c r="H44" s="8" t="s">
        <v>543</v>
      </c>
      <c r="I44" s="8" t="s">
        <v>147</v>
      </c>
      <c r="J44" s="2" t="s">
        <v>399</v>
      </c>
      <c r="K44" s="2">
        <v>2018</v>
      </c>
      <c r="L44" s="2">
        <v>52</v>
      </c>
      <c r="M44" s="2">
        <v>2019</v>
      </c>
      <c r="N44" s="2">
        <v>49</v>
      </c>
      <c r="O44" s="68">
        <f>(($S44-$L44)/21*6)+$L44</f>
        <v>55.142857142857146</v>
      </c>
      <c r="P44" s="68">
        <f>(($S44-$L44)/21*10)+$L44</f>
        <v>57.238095238095241</v>
      </c>
      <c r="Q44" s="68">
        <f>(($S44-$L44)/21*14)+$L44</f>
        <v>59.333333333333336</v>
      </c>
      <c r="R44" s="79">
        <f>(($S44-$L44)/21*18)+$L44</f>
        <v>61.428571428571431</v>
      </c>
      <c r="S44" s="79">
        <v>63</v>
      </c>
      <c r="T44" s="73" t="s">
        <v>626</v>
      </c>
      <c r="U44" s="2" t="s">
        <v>397</v>
      </c>
      <c r="V44" t="s">
        <v>599</v>
      </c>
      <c r="W44" t="s">
        <v>432</v>
      </c>
      <c r="X44" t="s">
        <v>432</v>
      </c>
      <c r="AA44" s="3" t="s">
        <v>494</v>
      </c>
      <c r="AC44" s="3" t="s">
        <v>494</v>
      </c>
      <c r="AD44" s="2" t="s">
        <v>150</v>
      </c>
    </row>
    <row r="45" spans="1:30" ht="30" hidden="1" x14ac:dyDescent="0.25">
      <c r="A45" s="58"/>
      <c r="B45" s="58" t="s">
        <v>0</v>
      </c>
      <c r="C45" s="58">
        <v>5</v>
      </c>
      <c r="D45" s="2" t="s">
        <v>111</v>
      </c>
      <c r="E45" s="2" t="s">
        <v>112</v>
      </c>
      <c r="F45" s="2" t="s">
        <v>204</v>
      </c>
      <c r="G45" s="8" t="s">
        <v>522</v>
      </c>
      <c r="H45" s="8" t="s">
        <v>367</v>
      </c>
      <c r="I45" s="8" t="s">
        <v>143</v>
      </c>
      <c r="J45" s="2" t="s">
        <v>28</v>
      </c>
      <c r="K45" s="2">
        <v>2016</v>
      </c>
      <c r="L45" s="42">
        <v>0.109</v>
      </c>
      <c r="M45" s="2"/>
      <c r="N45" s="2"/>
      <c r="O45" s="42"/>
      <c r="P45" s="42"/>
      <c r="Q45" s="42"/>
      <c r="R45" s="5"/>
      <c r="S45" s="5"/>
      <c r="T45" s="2"/>
      <c r="U45" s="2" t="s">
        <v>398</v>
      </c>
      <c r="W45" t="s">
        <v>432</v>
      </c>
      <c r="X45" t="s">
        <v>432</v>
      </c>
      <c r="Y45" t="s">
        <v>432</v>
      </c>
      <c r="AA45" s="3" t="s">
        <v>494</v>
      </c>
      <c r="AC45" s="3" t="s">
        <v>492</v>
      </c>
      <c r="AD45" s="2"/>
    </row>
    <row r="46" spans="1:30" ht="30" hidden="1" x14ac:dyDescent="0.25">
      <c r="A46" s="58"/>
      <c r="B46" s="58" t="s">
        <v>0</v>
      </c>
      <c r="C46" s="58">
        <v>5</v>
      </c>
      <c r="D46" s="2" t="s">
        <v>111</v>
      </c>
      <c r="E46" s="2" t="s">
        <v>112</v>
      </c>
      <c r="F46" s="2" t="s">
        <v>204</v>
      </c>
      <c r="G46" s="8" t="s">
        <v>458</v>
      </c>
      <c r="H46" s="8" t="s">
        <v>459</v>
      </c>
      <c r="I46" s="8" t="s">
        <v>143</v>
      </c>
      <c r="J46" s="2"/>
      <c r="K46" s="2"/>
      <c r="L46" s="2"/>
      <c r="M46" s="2"/>
      <c r="N46" s="2"/>
      <c r="O46" s="42"/>
      <c r="P46" s="42"/>
      <c r="Q46" s="42"/>
      <c r="R46" s="5"/>
      <c r="S46" s="5"/>
      <c r="T46" s="2"/>
      <c r="U46" s="2" t="s">
        <v>398</v>
      </c>
      <c r="W46" s="3"/>
      <c r="X46" s="3" t="s">
        <v>432</v>
      </c>
      <c r="Y46" s="3"/>
      <c r="Z46" s="3"/>
      <c r="AA46" s="3" t="s">
        <v>492</v>
      </c>
      <c r="AB46" s="3"/>
      <c r="AC46" s="3" t="s">
        <v>495</v>
      </c>
      <c r="AD46" s="2"/>
    </row>
    <row r="47" spans="1:30" ht="60" hidden="1" x14ac:dyDescent="0.25">
      <c r="A47" s="58"/>
      <c r="B47" s="58" t="s">
        <v>0</v>
      </c>
      <c r="C47" s="58">
        <v>5</v>
      </c>
      <c r="D47" s="2" t="s">
        <v>111</v>
      </c>
      <c r="E47" s="2" t="s">
        <v>112</v>
      </c>
      <c r="F47" s="2" t="s">
        <v>204</v>
      </c>
      <c r="G47" s="8" t="s">
        <v>441</v>
      </c>
      <c r="H47" s="20" t="s">
        <v>144</v>
      </c>
      <c r="I47" s="8" t="s">
        <v>143</v>
      </c>
      <c r="J47" s="2" t="s">
        <v>11</v>
      </c>
      <c r="K47" s="2"/>
      <c r="L47" s="2"/>
      <c r="M47" s="2"/>
      <c r="N47" s="2"/>
      <c r="O47" s="42"/>
      <c r="P47" s="42"/>
      <c r="Q47" s="42"/>
      <c r="R47" s="5"/>
      <c r="S47" s="5"/>
      <c r="T47" s="2"/>
      <c r="U47" s="2" t="s">
        <v>351</v>
      </c>
      <c r="W47" s="3"/>
      <c r="X47" s="3" t="s">
        <v>432</v>
      </c>
      <c r="Y47" s="3"/>
      <c r="Z47" s="3"/>
      <c r="AA47" s="3" t="s">
        <v>492</v>
      </c>
      <c r="AB47" s="3"/>
      <c r="AC47" s="3" t="s">
        <v>495</v>
      </c>
      <c r="AD47" s="2"/>
    </row>
    <row r="48" spans="1:30" ht="45" hidden="1" x14ac:dyDescent="0.25">
      <c r="A48" s="58"/>
      <c r="B48" s="58" t="s">
        <v>0</v>
      </c>
      <c r="C48" s="58">
        <v>5</v>
      </c>
      <c r="D48" s="2" t="s">
        <v>111</v>
      </c>
      <c r="E48" s="2" t="s">
        <v>112</v>
      </c>
      <c r="F48" s="2" t="s">
        <v>204</v>
      </c>
      <c r="G48" s="8" t="s">
        <v>521</v>
      </c>
      <c r="H48" s="8" t="s">
        <v>366</v>
      </c>
      <c r="I48" s="8" t="s">
        <v>143</v>
      </c>
      <c r="J48" s="2" t="s">
        <v>365</v>
      </c>
      <c r="K48" s="2">
        <v>2016</v>
      </c>
      <c r="L48" s="2">
        <v>403</v>
      </c>
      <c r="M48" s="2"/>
      <c r="N48" s="2"/>
      <c r="O48" s="42"/>
      <c r="P48" s="42"/>
      <c r="Q48" s="42"/>
      <c r="R48" s="5"/>
      <c r="S48" s="5"/>
      <c r="T48" s="2"/>
      <c r="U48" s="2" t="s">
        <v>398</v>
      </c>
      <c r="W48" t="s">
        <v>432</v>
      </c>
      <c r="X48" t="s">
        <v>432</v>
      </c>
      <c r="Y48" t="s">
        <v>432</v>
      </c>
      <c r="AA48" s="3" t="s">
        <v>492</v>
      </c>
      <c r="AC48" s="3" t="s">
        <v>495</v>
      </c>
      <c r="AD48" s="2" t="s">
        <v>149</v>
      </c>
    </row>
    <row r="49" spans="1:30" ht="30" x14ac:dyDescent="0.25">
      <c r="A49" s="58" t="s">
        <v>697</v>
      </c>
      <c r="B49" s="58" t="s">
        <v>0</v>
      </c>
      <c r="C49" s="58">
        <v>5</v>
      </c>
      <c r="D49" s="2" t="s">
        <v>111</v>
      </c>
      <c r="E49" s="2" t="s">
        <v>112</v>
      </c>
      <c r="F49" s="2" t="s">
        <v>204</v>
      </c>
      <c r="G49" s="8" t="s">
        <v>520</v>
      </c>
      <c r="H49" s="8" t="s">
        <v>642</v>
      </c>
      <c r="I49" s="8" t="s">
        <v>113</v>
      </c>
      <c r="J49" s="2" t="s">
        <v>685</v>
      </c>
      <c r="K49" s="2">
        <v>2016</v>
      </c>
      <c r="L49" s="42">
        <v>0.159</v>
      </c>
      <c r="M49" s="2"/>
      <c r="N49" s="2"/>
      <c r="O49" s="42">
        <f>(($S49-$L49)/21*6)+$L49</f>
        <v>0.15672857142857144</v>
      </c>
      <c r="P49" s="42">
        <f>(($S49-$L49)/21*10)+$L49</f>
        <v>0.15521428571428572</v>
      </c>
      <c r="Q49" s="42">
        <f>(($S49-$L49)/21*14)+$L49</f>
        <v>0.1537</v>
      </c>
      <c r="R49" s="78">
        <f>(($S49-$L49)/21*18)+$L49</f>
        <v>0.15218571428571429</v>
      </c>
      <c r="S49" s="78">
        <f>L49*0.95</f>
        <v>0.15104999999999999</v>
      </c>
      <c r="T49" s="65" t="s">
        <v>603</v>
      </c>
      <c r="U49" s="2" t="s">
        <v>397</v>
      </c>
      <c r="V49" t="s">
        <v>649</v>
      </c>
      <c r="W49" t="s">
        <v>432</v>
      </c>
      <c r="X49" t="s">
        <v>432</v>
      </c>
      <c r="Y49" t="s">
        <v>432</v>
      </c>
      <c r="AA49" s="3" t="s">
        <v>494</v>
      </c>
      <c r="AC49" s="3"/>
      <c r="AD49" s="2"/>
    </row>
    <row r="50" spans="1:30" ht="30" hidden="1" x14ac:dyDescent="0.25">
      <c r="A50" s="58"/>
      <c r="B50" s="58" t="s">
        <v>0</v>
      </c>
      <c r="C50" s="58">
        <v>5</v>
      </c>
      <c r="D50" s="2" t="s">
        <v>111</v>
      </c>
      <c r="E50" s="2" t="s">
        <v>112</v>
      </c>
      <c r="F50" s="2" t="s">
        <v>204</v>
      </c>
      <c r="G50" s="8" t="s">
        <v>442</v>
      </c>
      <c r="H50" s="8" t="s">
        <v>364</v>
      </c>
      <c r="I50" s="8" t="s">
        <v>113</v>
      </c>
      <c r="J50" s="2" t="s">
        <v>28</v>
      </c>
      <c r="K50" s="3">
        <v>2016</v>
      </c>
      <c r="L50" s="42">
        <v>0.41699999999999998</v>
      </c>
      <c r="M50" s="2"/>
      <c r="N50" s="2"/>
      <c r="O50" s="42"/>
      <c r="P50" s="42"/>
      <c r="Q50" s="42"/>
      <c r="R50" s="5"/>
      <c r="S50" s="5"/>
      <c r="T50" s="2"/>
      <c r="U50" s="2" t="s">
        <v>398</v>
      </c>
      <c r="W50" t="s">
        <v>432</v>
      </c>
      <c r="X50" t="s">
        <v>432</v>
      </c>
      <c r="Y50" t="s">
        <v>432</v>
      </c>
      <c r="AA50" s="3" t="s">
        <v>494</v>
      </c>
      <c r="AC50" s="3" t="s">
        <v>495</v>
      </c>
      <c r="AD50" s="2" t="s">
        <v>149</v>
      </c>
    </row>
    <row r="51" spans="1:30" ht="60" hidden="1" x14ac:dyDescent="0.25">
      <c r="A51" s="59"/>
      <c r="B51" s="59" t="s">
        <v>4</v>
      </c>
      <c r="C51" s="59">
        <v>6</v>
      </c>
      <c r="D51" s="5" t="s">
        <v>115</v>
      </c>
      <c r="E51" s="2" t="s">
        <v>116</v>
      </c>
      <c r="F51" s="2" t="s">
        <v>573</v>
      </c>
      <c r="G51" s="8" t="s">
        <v>523</v>
      </c>
      <c r="H51" s="8" t="s">
        <v>372</v>
      </c>
      <c r="I51" s="8" t="s">
        <v>143</v>
      </c>
      <c r="J51" s="2" t="s">
        <v>28</v>
      </c>
      <c r="K51" s="2">
        <v>2016</v>
      </c>
      <c r="L51" s="42">
        <v>0.63100000000000001</v>
      </c>
      <c r="M51" s="2"/>
      <c r="N51" s="29"/>
      <c r="O51" s="42"/>
      <c r="P51" s="42"/>
      <c r="Q51" s="42"/>
      <c r="R51" s="5"/>
      <c r="S51" s="5"/>
      <c r="T51" s="2"/>
      <c r="U51" s="2" t="s">
        <v>398</v>
      </c>
      <c r="W51" t="s">
        <v>432</v>
      </c>
      <c r="X51" t="s">
        <v>432</v>
      </c>
      <c r="Y51" t="s">
        <v>432</v>
      </c>
      <c r="AA51" s="3" t="s">
        <v>494</v>
      </c>
      <c r="AC51" s="3" t="s">
        <v>494</v>
      </c>
      <c r="AD51" s="2" t="s">
        <v>150</v>
      </c>
    </row>
    <row r="52" spans="1:30" ht="60" x14ac:dyDescent="0.25">
      <c r="A52" s="59" t="s">
        <v>699</v>
      </c>
      <c r="B52" s="59" t="s">
        <v>4</v>
      </c>
      <c r="C52" s="59">
        <v>6</v>
      </c>
      <c r="D52" s="5" t="s">
        <v>115</v>
      </c>
      <c r="E52" s="2" t="s">
        <v>116</v>
      </c>
      <c r="F52" s="2" t="s">
        <v>573</v>
      </c>
      <c r="G52" s="8" t="s">
        <v>524</v>
      </c>
      <c r="H52" s="8" t="s">
        <v>371</v>
      </c>
      <c r="I52" s="8" t="s">
        <v>160</v>
      </c>
      <c r="J52" s="2" t="s">
        <v>627</v>
      </c>
      <c r="K52" s="2">
        <v>2018</v>
      </c>
      <c r="L52" s="42">
        <v>4.8000000000000001E-2</v>
      </c>
      <c r="M52" s="2"/>
      <c r="N52" s="2"/>
      <c r="O52" s="42">
        <f>(($S52-$L52)/21*6)+$L52</f>
        <v>4.0285714285714286E-2</v>
      </c>
      <c r="P52" s="42">
        <f>(($S52-$L52)/21*10)+$L52</f>
        <v>3.5142857142857142E-2</v>
      </c>
      <c r="Q52" s="42">
        <f>(($S52-$L52)/21*14)+$L52</f>
        <v>3.0000000000000002E-2</v>
      </c>
      <c r="R52" s="78">
        <f>(($S52-$L52)/21*18)+$L52</f>
        <v>2.4857142857142859E-2</v>
      </c>
      <c r="S52" s="78">
        <v>2.1000000000000001E-2</v>
      </c>
      <c r="T52" s="73" t="s">
        <v>628</v>
      </c>
      <c r="U52" s="2" t="s">
        <v>397</v>
      </c>
      <c r="V52" t="s">
        <v>649</v>
      </c>
      <c r="W52" t="s">
        <v>432</v>
      </c>
      <c r="X52" t="s">
        <v>432</v>
      </c>
      <c r="Y52" t="s">
        <v>432</v>
      </c>
      <c r="AA52" s="3" t="s">
        <v>494</v>
      </c>
      <c r="AC52" s="3" t="s">
        <v>494</v>
      </c>
      <c r="AD52" s="2" t="s">
        <v>149</v>
      </c>
    </row>
    <row r="53" spans="1:30" ht="60" hidden="1" x14ac:dyDescent="0.25">
      <c r="A53" s="59"/>
      <c r="B53" s="59" t="s">
        <v>4</v>
      </c>
      <c r="C53" s="59">
        <v>6</v>
      </c>
      <c r="D53" s="5" t="s">
        <v>115</v>
      </c>
      <c r="E53" s="2" t="s">
        <v>116</v>
      </c>
      <c r="F53" s="2" t="s">
        <v>573</v>
      </c>
      <c r="G53" s="8" t="s">
        <v>484</v>
      </c>
      <c r="H53" s="8" t="s">
        <v>647</v>
      </c>
      <c r="I53" s="8" t="s">
        <v>143</v>
      </c>
      <c r="J53" s="2" t="s">
        <v>28</v>
      </c>
      <c r="K53" s="2">
        <v>2016</v>
      </c>
      <c r="L53" s="42">
        <v>0.61099999999999999</v>
      </c>
      <c r="M53" s="2"/>
      <c r="N53" s="2"/>
      <c r="O53" s="42"/>
      <c r="P53" s="42"/>
      <c r="Q53" s="42"/>
      <c r="R53" s="5"/>
      <c r="S53" s="5"/>
      <c r="T53" s="2"/>
      <c r="U53" s="2" t="s">
        <v>398</v>
      </c>
      <c r="W53" t="s">
        <v>432</v>
      </c>
      <c r="X53" t="s">
        <v>432</v>
      </c>
      <c r="Y53" t="s">
        <v>432</v>
      </c>
      <c r="AA53" s="3" t="s">
        <v>492</v>
      </c>
      <c r="AC53" s="3" t="s">
        <v>495</v>
      </c>
      <c r="AD53" s="2"/>
    </row>
    <row r="54" spans="1:30" ht="60" hidden="1" x14ac:dyDescent="0.25">
      <c r="A54" s="59"/>
      <c r="B54" s="59" t="s">
        <v>4</v>
      </c>
      <c r="C54" s="59">
        <v>6</v>
      </c>
      <c r="D54" s="5" t="s">
        <v>115</v>
      </c>
      <c r="E54" s="2" t="s">
        <v>116</v>
      </c>
      <c r="F54" s="2" t="s">
        <v>573</v>
      </c>
      <c r="G54" s="8" t="s">
        <v>485</v>
      </c>
      <c r="H54" s="8" t="s">
        <v>394</v>
      </c>
      <c r="I54" s="8" t="s">
        <v>143</v>
      </c>
      <c r="J54" s="2" t="s">
        <v>28</v>
      </c>
      <c r="K54" s="2">
        <v>2016</v>
      </c>
      <c r="L54" s="42">
        <v>0.311</v>
      </c>
      <c r="M54" s="2"/>
      <c r="N54" s="2"/>
      <c r="O54" s="42"/>
      <c r="P54" s="42"/>
      <c r="Q54" s="42"/>
      <c r="R54" s="5"/>
      <c r="S54" s="5"/>
      <c r="T54" s="2"/>
      <c r="U54" s="2" t="s">
        <v>398</v>
      </c>
      <c r="W54" t="s">
        <v>432</v>
      </c>
      <c r="X54" t="s">
        <v>432</v>
      </c>
      <c r="Y54" t="s">
        <v>432</v>
      </c>
      <c r="AA54" s="3" t="s">
        <v>492</v>
      </c>
      <c r="AC54" s="3" t="s">
        <v>495</v>
      </c>
      <c r="AD54" s="2"/>
    </row>
    <row r="55" spans="1:30" ht="60" x14ac:dyDescent="0.25">
      <c r="A55" s="59" t="s">
        <v>700</v>
      </c>
      <c r="B55" s="59" t="s">
        <v>4</v>
      </c>
      <c r="C55" s="59">
        <v>6</v>
      </c>
      <c r="D55" s="5" t="s">
        <v>115</v>
      </c>
      <c r="E55" s="2" t="s">
        <v>116</v>
      </c>
      <c r="F55" s="2" t="s">
        <v>573</v>
      </c>
      <c r="G55" s="8" t="s">
        <v>525</v>
      </c>
      <c r="H55" s="8" t="s">
        <v>368</v>
      </c>
      <c r="I55" s="8" t="s">
        <v>113</v>
      </c>
      <c r="J55" s="2" t="s">
        <v>685</v>
      </c>
      <c r="K55" s="2">
        <v>2016</v>
      </c>
      <c r="L55" s="42">
        <v>0.17199999999999999</v>
      </c>
      <c r="M55" s="2"/>
      <c r="N55" s="28"/>
      <c r="O55" s="42">
        <f>(($S55-$L55)/21*6)+$L55</f>
        <v>0.18428571428571427</v>
      </c>
      <c r="P55" s="42">
        <f>(($S55-$L55)/21*10)+$L55</f>
        <v>0.19247619047619047</v>
      </c>
      <c r="Q55" s="42">
        <f>(($S55-$L55)/21*14)+$L55</f>
        <v>0.20066666666666666</v>
      </c>
      <c r="R55" s="75">
        <f>(($S55-$L55)/21*18)+$L55</f>
        <v>0.20885714285714285</v>
      </c>
      <c r="S55" s="75">
        <v>0.215</v>
      </c>
      <c r="T55" s="73" t="s">
        <v>629</v>
      </c>
      <c r="U55" s="2" t="s">
        <v>397</v>
      </c>
      <c r="V55" t="s">
        <v>599</v>
      </c>
      <c r="W55" t="s">
        <v>432</v>
      </c>
      <c r="X55" t="s">
        <v>432</v>
      </c>
      <c r="Y55" t="s">
        <v>432</v>
      </c>
      <c r="AA55" s="3" t="s">
        <v>494</v>
      </c>
      <c r="AC55" s="3" t="s">
        <v>494</v>
      </c>
      <c r="AD55" s="2" t="s">
        <v>149</v>
      </c>
    </row>
    <row r="56" spans="1:30" ht="60" hidden="1" x14ac:dyDescent="0.25">
      <c r="A56" s="59"/>
      <c r="B56" s="59" t="s">
        <v>4</v>
      </c>
      <c r="C56" s="59">
        <v>6</v>
      </c>
      <c r="D56" s="5" t="s">
        <v>115</v>
      </c>
      <c r="E56" s="2" t="s">
        <v>116</v>
      </c>
      <c r="F56" s="2" t="s">
        <v>573</v>
      </c>
      <c r="G56" s="8" t="s">
        <v>525</v>
      </c>
      <c r="H56" s="8" t="s">
        <v>431</v>
      </c>
      <c r="I56" s="8" t="s">
        <v>113</v>
      </c>
      <c r="J56" s="2" t="s">
        <v>13</v>
      </c>
      <c r="K56" s="2">
        <v>2018</v>
      </c>
      <c r="L56" s="42">
        <v>0.28000000000000003</v>
      </c>
      <c r="M56" s="2">
        <v>2019</v>
      </c>
      <c r="N56" s="28">
        <v>0.39</v>
      </c>
      <c r="O56" s="42"/>
      <c r="P56" s="42"/>
      <c r="Q56" s="42"/>
      <c r="R56" s="5"/>
      <c r="S56" s="5"/>
      <c r="T56" s="2"/>
      <c r="U56" s="2" t="s">
        <v>398</v>
      </c>
      <c r="W56" t="s">
        <v>432</v>
      </c>
      <c r="X56" t="s">
        <v>432</v>
      </c>
      <c r="Y56" t="s">
        <v>455</v>
      </c>
      <c r="AA56" s="3" t="s">
        <v>494</v>
      </c>
      <c r="AC56" s="3" t="s">
        <v>498</v>
      </c>
      <c r="AD56" s="2" t="s">
        <v>149</v>
      </c>
    </row>
    <row r="57" spans="1:30" ht="60" hidden="1" x14ac:dyDescent="0.25">
      <c r="A57" s="59"/>
      <c r="B57" s="59" t="s">
        <v>4</v>
      </c>
      <c r="C57" s="59">
        <v>6</v>
      </c>
      <c r="D57" s="5" t="s">
        <v>115</v>
      </c>
      <c r="E57" s="2" t="s">
        <v>116</v>
      </c>
      <c r="F57" s="2" t="s">
        <v>573</v>
      </c>
      <c r="G57" s="8" t="s">
        <v>161</v>
      </c>
      <c r="H57" s="8" t="s">
        <v>370</v>
      </c>
      <c r="I57" s="8" t="s">
        <v>146</v>
      </c>
      <c r="J57" s="5" t="s">
        <v>151</v>
      </c>
      <c r="K57" s="41" t="s">
        <v>354</v>
      </c>
      <c r="L57" s="46">
        <v>5</v>
      </c>
      <c r="M57" s="2" t="s">
        <v>606</v>
      </c>
      <c r="N57" s="2">
        <v>4.99</v>
      </c>
      <c r="O57" s="42"/>
      <c r="P57" s="42"/>
      <c r="Q57" s="42"/>
      <c r="R57" s="5"/>
      <c r="S57" s="5"/>
      <c r="T57" s="2"/>
      <c r="U57" s="2" t="s">
        <v>398</v>
      </c>
      <c r="W57" t="s">
        <v>432</v>
      </c>
      <c r="X57" t="s">
        <v>432</v>
      </c>
      <c r="Y57" t="s">
        <v>432</v>
      </c>
      <c r="AA57" s="3" t="s">
        <v>494</v>
      </c>
      <c r="AC57" s="3" t="s">
        <v>498</v>
      </c>
      <c r="AD57" s="2" t="s">
        <v>149</v>
      </c>
    </row>
    <row r="58" spans="1:30" ht="60" x14ac:dyDescent="0.25">
      <c r="A58" s="59" t="s">
        <v>701</v>
      </c>
      <c r="B58" s="59" t="s">
        <v>4</v>
      </c>
      <c r="C58" s="59">
        <v>6</v>
      </c>
      <c r="D58" s="5" t="s">
        <v>115</v>
      </c>
      <c r="E58" s="2" t="s">
        <v>116</v>
      </c>
      <c r="F58" s="2" t="s">
        <v>573</v>
      </c>
      <c r="G58" s="8" t="s">
        <v>526</v>
      </c>
      <c r="H58" s="8" t="s">
        <v>587</v>
      </c>
      <c r="I58" s="8" t="s">
        <v>623</v>
      </c>
      <c r="J58" s="5" t="s">
        <v>686</v>
      </c>
      <c r="K58" s="2">
        <v>2017</v>
      </c>
      <c r="L58" s="42">
        <v>0.91600000000000004</v>
      </c>
      <c r="M58" s="2"/>
      <c r="N58" s="2"/>
      <c r="O58" s="42">
        <f>(($S58-$L58)/21*6)+$L58</f>
        <v>0.92908571428571429</v>
      </c>
      <c r="P58" s="42">
        <f>(($S58-$L58)/21*10)+$L58</f>
        <v>0.93780952380952387</v>
      </c>
      <c r="Q58" s="42">
        <f>(($S58-$L58)/21*14)+$L58</f>
        <v>0.94653333333333345</v>
      </c>
      <c r="R58" s="75">
        <f>(($S58-$L58)/21*18)+$L58</f>
        <v>0.95525714285714292</v>
      </c>
      <c r="S58" s="75">
        <f>L58*1.05</f>
        <v>0.9618000000000001</v>
      </c>
      <c r="T58" s="70" t="s">
        <v>602</v>
      </c>
      <c r="U58" s="2" t="s">
        <v>397</v>
      </c>
      <c r="V58" t="s">
        <v>599</v>
      </c>
      <c r="W58" t="s">
        <v>432</v>
      </c>
      <c r="X58" t="s">
        <v>432</v>
      </c>
      <c r="Y58" t="s">
        <v>432</v>
      </c>
      <c r="Z58" s="3"/>
      <c r="AA58" s="3" t="s">
        <v>494</v>
      </c>
      <c r="AB58" s="3"/>
      <c r="AC58" s="3" t="s">
        <v>494</v>
      </c>
      <c r="AD58" s="2" t="s">
        <v>149</v>
      </c>
    </row>
    <row r="59" spans="1:30" ht="60" hidden="1" x14ac:dyDescent="0.25">
      <c r="A59" s="59"/>
      <c r="B59" s="59" t="s">
        <v>4</v>
      </c>
      <c r="C59" s="59">
        <v>6</v>
      </c>
      <c r="D59" s="5" t="s">
        <v>115</v>
      </c>
      <c r="E59" s="2" t="s">
        <v>116</v>
      </c>
      <c r="F59" s="2" t="s">
        <v>573</v>
      </c>
      <c r="G59" s="8" t="s">
        <v>461</v>
      </c>
      <c r="H59" s="8" t="s">
        <v>462</v>
      </c>
      <c r="I59" s="3"/>
      <c r="J59" s="5" t="s">
        <v>151</v>
      </c>
      <c r="K59" s="2"/>
      <c r="L59" s="2"/>
      <c r="M59" s="2"/>
      <c r="N59" s="2"/>
      <c r="O59" s="42"/>
      <c r="P59" s="42"/>
      <c r="Q59" s="42"/>
      <c r="R59" s="5"/>
      <c r="S59" s="5"/>
      <c r="T59" s="2"/>
      <c r="U59" s="2" t="s">
        <v>398</v>
      </c>
      <c r="X59" t="s">
        <v>432</v>
      </c>
      <c r="Y59" t="s">
        <v>432</v>
      </c>
      <c r="Z59" s="3"/>
      <c r="AA59" s="3" t="s">
        <v>494</v>
      </c>
      <c r="AB59" s="3"/>
      <c r="AC59" s="3" t="s">
        <v>499</v>
      </c>
      <c r="AD59" s="2"/>
    </row>
    <row r="60" spans="1:30" ht="60" x14ac:dyDescent="0.25">
      <c r="A60" s="59" t="s">
        <v>702</v>
      </c>
      <c r="B60" s="59" t="s">
        <v>4</v>
      </c>
      <c r="C60" s="59">
        <v>6</v>
      </c>
      <c r="D60" s="5" t="s">
        <v>115</v>
      </c>
      <c r="E60" s="2" t="s">
        <v>116</v>
      </c>
      <c r="F60" s="2" t="s">
        <v>573</v>
      </c>
      <c r="G60" s="8" t="s">
        <v>493</v>
      </c>
      <c r="H60" s="8" t="s">
        <v>369</v>
      </c>
      <c r="I60" s="8" t="s">
        <v>146</v>
      </c>
      <c r="J60" s="5" t="s">
        <v>151</v>
      </c>
      <c r="K60" s="2" t="s">
        <v>354</v>
      </c>
      <c r="L60" s="42">
        <v>0.17630000000000001</v>
      </c>
      <c r="M60" s="2" t="s">
        <v>606</v>
      </c>
      <c r="N60" s="29">
        <v>0.16969999999999999</v>
      </c>
      <c r="O60" s="42">
        <f>(($S60-$L60)/21*6)+$L60</f>
        <v>0.35450000000000004</v>
      </c>
      <c r="P60" s="42">
        <f>(($S60-$L60)/21*10)+$L60</f>
        <v>0.4733</v>
      </c>
      <c r="Q60" s="42">
        <f>(($S60-$L60)/21*14)+$L60</f>
        <v>0.59210000000000007</v>
      </c>
      <c r="R60" s="75">
        <f>(($S60-$L60)/21*18)+$L60</f>
        <v>0.71089999999999998</v>
      </c>
      <c r="S60" s="75">
        <v>0.8</v>
      </c>
      <c r="T60" s="73" t="s">
        <v>625</v>
      </c>
      <c r="U60" s="2" t="s">
        <v>397</v>
      </c>
      <c r="V60" t="s">
        <v>599</v>
      </c>
      <c r="W60" t="s">
        <v>432</v>
      </c>
      <c r="X60" t="s">
        <v>432</v>
      </c>
      <c r="Y60" t="s">
        <v>432</v>
      </c>
      <c r="AA60" s="3" t="s">
        <v>494</v>
      </c>
      <c r="AC60" s="3" t="s">
        <v>494</v>
      </c>
      <c r="AD60" s="2" t="s">
        <v>149</v>
      </c>
    </row>
    <row r="61" spans="1:30" ht="60" hidden="1" x14ac:dyDescent="0.25">
      <c r="A61" s="59"/>
      <c r="B61" s="59" t="s">
        <v>4</v>
      </c>
      <c r="C61" s="59">
        <v>7</v>
      </c>
      <c r="D61" s="2" t="s">
        <v>117</v>
      </c>
      <c r="E61" s="2" t="s">
        <v>118</v>
      </c>
      <c r="F61" s="2" t="s">
        <v>574</v>
      </c>
      <c r="G61" s="8" t="s">
        <v>486</v>
      </c>
      <c r="H61" s="20" t="s">
        <v>144</v>
      </c>
      <c r="I61" s="8" t="s">
        <v>143</v>
      </c>
      <c r="J61" s="2" t="s">
        <v>27</v>
      </c>
      <c r="K61" s="2"/>
      <c r="L61" s="2"/>
      <c r="M61" s="2"/>
      <c r="N61" s="2"/>
      <c r="O61" s="42"/>
      <c r="P61" s="42"/>
      <c r="Q61" s="42"/>
      <c r="R61" s="5"/>
      <c r="S61" s="5"/>
      <c r="T61" s="2"/>
      <c r="U61" s="2" t="s">
        <v>351</v>
      </c>
      <c r="W61" s="3" t="s">
        <v>432</v>
      </c>
      <c r="X61" s="3" t="s">
        <v>432</v>
      </c>
      <c r="Y61" s="3" t="s">
        <v>455</v>
      </c>
      <c r="Z61" s="3"/>
      <c r="AA61" s="3" t="s">
        <v>497</v>
      </c>
      <c r="AB61" s="3"/>
      <c r="AC61" s="3" t="s">
        <v>495</v>
      </c>
      <c r="AD61" s="2"/>
    </row>
    <row r="62" spans="1:30" ht="45" hidden="1" x14ac:dyDescent="0.25">
      <c r="A62" s="59"/>
      <c r="B62" s="59" t="s">
        <v>4</v>
      </c>
      <c r="C62" s="59">
        <v>7</v>
      </c>
      <c r="D62" s="2" t="s">
        <v>117</v>
      </c>
      <c r="E62" s="2" t="s">
        <v>118</v>
      </c>
      <c r="F62" s="2" t="s">
        <v>574</v>
      </c>
      <c r="G62" s="8" t="s">
        <v>527</v>
      </c>
      <c r="H62" s="20" t="s">
        <v>528</v>
      </c>
      <c r="I62" s="8" t="s">
        <v>143</v>
      </c>
      <c r="J62" s="2" t="s">
        <v>11</v>
      </c>
      <c r="K62" s="2"/>
      <c r="L62" s="2"/>
      <c r="M62" s="2"/>
      <c r="N62" s="2"/>
      <c r="O62" s="42"/>
      <c r="P62" s="42"/>
      <c r="Q62" s="42"/>
      <c r="R62" s="5"/>
      <c r="S62" s="5"/>
      <c r="T62" s="2"/>
      <c r="U62" s="2" t="s">
        <v>398</v>
      </c>
      <c r="W62" s="3"/>
      <c r="X62" s="3" t="s">
        <v>432</v>
      </c>
      <c r="Y62" s="3" t="s">
        <v>432</v>
      </c>
      <c r="Z62" s="3"/>
      <c r="AA62" s="3" t="s">
        <v>494</v>
      </c>
      <c r="AB62" s="3"/>
      <c r="AC62" s="3" t="s">
        <v>498</v>
      </c>
      <c r="AD62" s="2"/>
    </row>
    <row r="63" spans="1:30" ht="45" x14ac:dyDescent="0.25">
      <c r="A63" s="59" t="s">
        <v>703</v>
      </c>
      <c r="B63" s="59" t="s">
        <v>4</v>
      </c>
      <c r="C63" s="59">
        <v>7</v>
      </c>
      <c r="D63" s="2" t="s">
        <v>117</v>
      </c>
      <c r="E63" s="2" t="s">
        <v>118</v>
      </c>
      <c r="F63" s="2" t="s">
        <v>574</v>
      </c>
      <c r="G63" s="8" t="s">
        <v>630</v>
      </c>
      <c r="H63" s="8" t="s">
        <v>631</v>
      </c>
      <c r="I63" s="8"/>
      <c r="J63" s="2" t="s">
        <v>685</v>
      </c>
      <c r="K63" s="2">
        <v>2016</v>
      </c>
      <c r="L63" s="42">
        <v>0.33</v>
      </c>
      <c r="M63" s="2"/>
      <c r="N63" s="3"/>
      <c r="O63" s="42">
        <f>(($S63-$L63)/21*6)+$L63</f>
        <v>0.37342857142857144</v>
      </c>
      <c r="P63" s="42">
        <f>(($S63-$L63)/21*10)+$L63</f>
        <v>0.40238095238095239</v>
      </c>
      <c r="Q63" s="42">
        <f>(($S63-$L63)/21*14)+$L63</f>
        <v>0.43133333333333335</v>
      </c>
      <c r="R63" s="75">
        <f>(($S63-$L63)/21*18)+$L63</f>
        <v>0.4602857142857143</v>
      </c>
      <c r="S63" s="75">
        <v>0.48199999999999998</v>
      </c>
      <c r="T63" s="73" t="s">
        <v>633</v>
      </c>
      <c r="U63" s="2" t="s">
        <v>397</v>
      </c>
      <c r="V63" t="s">
        <v>599</v>
      </c>
      <c r="W63" t="s">
        <v>432</v>
      </c>
      <c r="X63" t="s">
        <v>432</v>
      </c>
      <c r="Y63" t="s">
        <v>432</v>
      </c>
      <c r="AA63" s="3" t="s">
        <v>494</v>
      </c>
      <c r="AC63" s="3" t="s">
        <v>494</v>
      </c>
      <c r="AD63" s="2" t="s">
        <v>149</v>
      </c>
    </row>
    <row r="64" spans="1:30" ht="45" hidden="1" x14ac:dyDescent="0.25">
      <c r="A64" s="59"/>
      <c r="B64" s="59" t="s">
        <v>4</v>
      </c>
      <c r="C64" s="59">
        <v>7</v>
      </c>
      <c r="D64" s="2" t="s">
        <v>117</v>
      </c>
      <c r="E64" s="2" t="s">
        <v>118</v>
      </c>
      <c r="F64" s="2" t="s">
        <v>574</v>
      </c>
      <c r="G64" s="8" t="s">
        <v>529</v>
      </c>
      <c r="H64" s="8" t="s">
        <v>477</v>
      </c>
      <c r="I64" s="20" t="s">
        <v>158</v>
      </c>
      <c r="J64" s="5" t="s">
        <v>151</v>
      </c>
      <c r="K64" s="2">
        <v>2018</v>
      </c>
      <c r="L64" s="29">
        <v>4.9200000000000001E-2</v>
      </c>
      <c r="M64" s="2">
        <v>2019</v>
      </c>
      <c r="N64" s="29">
        <v>7.7200000000000005E-2</v>
      </c>
      <c r="O64" s="42"/>
      <c r="P64" s="42"/>
      <c r="Q64" s="42"/>
      <c r="R64" s="75"/>
      <c r="S64" s="75"/>
      <c r="T64" s="69"/>
      <c r="U64" s="2" t="s">
        <v>398</v>
      </c>
      <c r="W64" t="s">
        <v>432</v>
      </c>
      <c r="X64" t="s">
        <v>432</v>
      </c>
      <c r="Y64" t="s">
        <v>432</v>
      </c>
      <c r="AA64" s="3" t="s">
        <v>494</v>
      </c>
      <c r="AC64" s="3" t="s">
        <v>494</v>
      </c>
      <c r="AD64" s="2" t="s">
        <v>149</v>
      </c>
    </row>
    <row r="65" spans="1:30" ht="45" hidden="1" x14ac:dyDescent="0.25">
      <c r="A65" s="59"/>
      <c r="B65" s="59" t="s">
        <v>4</v>
      </c>
      <c r="C65" s="59">
        <v>7</v>
      </c>
      <c r="D65" s="2" t="s">
        <v>117</v>
      </c>
      <c r="E65" s="2" t="s">
        <v>118</v>
      </c>
      <c r="F65" s="2" t="s">
        <v>574</v>
      </c>
      <c r="G65" s="8" t="s">
        <v>457</v>
      </c>
      <c r="H65" s="23" t="s">
        <v>144</v>
      </c>
      <c r="I65" s="20" t="s">
        <v>163</v>
      </c>
      <c r="J65" s="20" t="s">
        <v>162</v>
      </c>
      <c r="K65" s="2"/>
      <c r="L65" s="2"/>
      <c r="M65" s="2"/>
      <c r="N65" s="2"/>
      <c r="O65" s="42"/>
      <c r="P65" s="42"/>
      <c r="Q65" s="42"/>
      <c r="R65" s="5"/>
      <c r="S65" s="5"/>
      <c r="T65" s="2"/>
      <c r="U65" s="2" t="s">
        <v>398</v>
      </c>
      <c r="W65" s="3"/>
      <c r="X65" s="3"/>
      <c r="Y65" s="3"/>
      <c r="Z65" s="3"/>
      <c r="AA65" s="3" t="s">
        <v>494</v>
      </c>
      <c r="AB65" s="3"/>
      <c r="AC65" s="3" t="s">
        <v>498</v>
      </c>
      <c r="AD65" s="2" t="s">
        <v>149</v>
      </c>
    </row>
    <row r="66" spans="1:30" ht="75" hidden="1" x14ac:dyDescent="0.25">
      <c r="A66" s="59"/>
      <c r="B66" s="59" t="s">
        <v>4</v>
      </c>
      <c r="C66" s="59">
        <v>7</v>
      </c>
      <c r="D66" s="2" t="s">
        <v>117</v>
      </c>
      <c r="E66" s="2" t="s">
        <v>118</v>
      </c>
      <c r="F66" s="2" t="s">
        <v>574</v>
      </c>
      <c r="G66" s="8" t="s">
        <v>530</v>
      </c>
      <c r="H66" s="8" t="s">
        <v>373</v>
      </c>
      <c r="I66" s="8" t="s">
        <v>143</v>
      </c>
      <c r="J66" s="2" t="s">
        <v>28</v>
      </c>
      <c r="K66" s="2">
        <v>2016</v>
      </c>
      <c r="L66" s="42">
        <v>0.18099999999999999</v>
      </c>
      <c r="M66" s="2"/>
      <c r="N66" s="2"/>
      <c r="O66" s="42"/>
      <c r="P66" s="42"/>
      <c r="Q66" s="42"/>
      <c r="R66" s="5"/>
      <c r="S66" s="5"/>
      <c r="T66" s="2"/>
      <c r="U66" s="2" t="s">
        <v>398</v>
      </c>
      <c r="W66" t="s">
        <v>432</v>
      </c>
      <c r="X66" t="s">
        <v>432</v>
      </c>
      <c r="Y66" t="s">
        <v>432</v>
      </c>
      <c r="AA66" s="3" t="s">
        <v>497</v>
      </c>
      <c r="AC66" s="3" t="s">
        <v>497</v>
      </c>
      <c r="AD66" s="2"/>
    </row>
    <row r="67" spans="1:30" ht="45" hidden="1" x14ac:dyDescent="0.25">
      <c r="A67" s="59"/>
      <c r="B67" s="59" t="s">
        <v>4</v>
      </c>
      <c r="C67" s="59">
        <v>7</v>
      </c>
      <c r="D67" s="2" t="s">
        <v>117</v>
      </c>
      <c r="E67" s="2" t="s">
        <v>118</v>
      </c>
      <c r="F67" s="2" t="s">
        <v>574</v>
      </c>
      <c r="G67" s="8" t="s">
        <v>531</v>
      </c>
      <c r="H67" s="8" t="s">
        <v>487</v>
      </c>
      <c r="I67" s="8" t="s">
        <v>113</v>
      </c>
      <c r="J67" s="2" t="s">
        <v>13</v>
      </c>
      <c r="K67" s="3">
        <v>2018</v>
      </c>
      <c r="L67" s="32">
        <v>0.93</v>
      </c>
      <c r="M67" s="3">
        <v>2019</v>
      </c>
      <c r="N67" s="32">
        <v>0.93</v>
      </c>
      <c r="O67" s="42"/>
      <c r="P67" s="42"/>
      <c r="Q67" s="42"/>
      <c r="R67" s="5"/>
      <c r="S67" s="5"/>
      <c r="T67" s="2"/>
      <c r="U67" s="2" t="s">
        <v>351</v>
      </c>
      <c r="W67" t="s">
        <v>432</v>
      </c>
      <c r="X67" t="s">
        <v>432</v>
      </c>
      <c r="AA67" s="3" t="s">
        <v>494</v>
      </c>
      <c r="AC67" s="3" t="s">
        <v>498</v>
      </c>
      <c r="AD67" s="3" t="s">
        <v>149</v>
      </c>
    </row>
    <row r="68" spans="1:30" ht="45" hidden="1" x14ac:dyDescent="0.25">
      <c r="A68" s="59"/>
      <c r="B68" s="59" t="s">
        <v>4</v>
      </c>
      <c r="C68" s="59">
        <v>7</v>
      </c>
      <c r="D68" s="2" t="s">
        <v>117</v>
      </c>
      <c r="E68" s="2" t="s">
        <v>118</v>
      </c>
      <c r="F68" s="2" t="s">
        <v>574</v>
      </c>
      <c r="G68" s="8" t="s">
        <v>532</v>
      </c>
      <c r="H68" s="8" t="s">
        <v>443</v>
      </c>
      <c r="I68" s="8" t="s">
        <v>113</v>
      </c>
      <c r="J68" s="2" t="s">
        <v>26</v>
      </c>
      <c r="K68" s="3">
        <v>2018</v>
      </c>
      <c r="L68" s="32">
        <v>0.96699999999999997</v>
      </c>
      <c r="M68" s="3">
        <v>2019</v>
      </c>
      <c r="N68" s="32">
        <v>0.97</v>
      </c>
      <c r="O68" s="42"/>
      <c r="P68" s="42"/>
      <c r="Q68" s="42"/>
      <c r="R68" s="5"/>
      <c r="S68" s="5"/>
      <c r="T68" s="2"/>
      <c r="U68" s="2" t="s">
        <v>398</v>
      </c>
      <c r="W68" t="s">
        <v>432</v>
      </c>
      <c r="AA68" s="3" t="s">
        <v>494</v>
      </c>
      <c r="AC68" s="3" t="s">
        <v>494</v>
      </c>
      <c r="AD68" s="3"/>
    </row>
    <row r="69" spans="1:30" ht="45" hidden="1" x14ac:dyDescent="0.25">
      <c r="A69" s="59"/>
      <c r="B69" s="59" t="s">
        <v>4</v>
      </c>
      <c r="C69" s="59">
        <v>7</v>
      </c>
      <c r="D69" s="2" t="s">
        <v>117</v>
      </c>
      <c r="E69" s="2" t="s">
        <v>118</v>
      </c>
      <c r="F69" s="2" t="s">
        <v>574</v>
      </c>
      <c r="G69" s="8" t="s">
        <v>444</v>
      </c>
      <c r="H69" s="8" t="s">
        <v>403</v>
      </c>
      <c r="I69" s="8" t="s">
        <v>113</v>
      </c>
      <c r="J69" s="2" t="s">
        <v>25</v>
      </c>
      <c r="K69" s="3">
        <v>2018</v>
      </c>
      <c r="L69" s="3">
        <v>5.27</v>
      </c>
      <c r="M69" s="3">
        <v>2019</v>
      </c>
      <c r="N69" s="3">
        <v>5.6</v>
      </c>
      <c r="O69" s="42"/>
      <c r="P69" s="42"/>
      <c r="Q69" s="42"/>
      <c r="R69" s="80"/>
      <c r="S69" s="80">
        <f>L69*1.05</f>
        <v>5.5335000000000001</v>
      </c>
      <c r="T69" s="70" t="s">
        <v>602</v>
      </c>
      <c r="U69" s="2" t="s">
        <v>398</v>
      </c>
      <c r="W69" t="s">
        <v>432</v>
      </c>
      <c r="X69" t="s">
        <v>432</v>
      </c>
      <c r="AA69" s="3" t="s">
        <v>497</v>
      </c>
      <c r="AC69" s="3" t="s">
        <v>498</v>
      </c>
      <c r="AD69" s="3" t="s">
        <v>149</v>
      </c>
    </row>
    <row r="70" spans="1:30" ht="45" hidden="1" x14ac:dyDescent="0.25">
      <c r="A70" s="59"/>
      <c r="B70" s="59" t="s">
        <v>4</v>
      </c>
      <c r="C70" s="59">
        <v>7</v>
      </c>
      <c r="D70" s="2" t="s">
        <v>117</v>
      </c>
      <c r="E70" s="2" t="s">
        <v>118</v>
      </c>
      <c r="F70" s="2" t="s">
        <v>574</v>
      </c>
      <c r="G70" s="8" t="s">
        <v>478</v>
      </c>
      <c r="H70" s="20" t="s">
        <v>144</v>
      </c>
      <c r="I70" s="8"/>
      <c r="J70" s="5" t="s">
        <v>28</v>
      </c>
      <c r="K70" s="3"/>
      <c r="L70" s="2"/>
      <c r="M70" s="2"/>
      <c r="N70" s="2"/>
      <c r="O70" s="42"/>
      <c r="P70" s="42"/>
      <c r="Q70" s="42"/>
      <c r="R70" s="5"/>
      <c r="S70" s="5"/>
      <c r="T70" s="2"/>
      <c r="U70" s="2" t="s">
        <v>351</v>
      </c>
      <c r="W70" s="3" t="s">
        <v>432</v>
      </c>
      <c r="X70" s="3" t="s">
        <v>432</v>
      </c>
      <c r="Y70" s="3" t="s">
        <v>432</v>
      </c>
      <c r="Z70" s="3"/>
      <c r="AA70" s="3" t="s">
        <v>497</v>
      </c>
      <c r="AB70" s="3"/>
      <c r="AC70" s="3" t="s">
        <v>498</v>
      </c>
      <c r="AD70" s="3" t="s">
        <v>149</v>
      </c>
    </row>
    <row r="71" spans="1:30" ht="60" hidden="1" x14ac:dyDescent="0.25">
      <c r="A71" s="59"/>
      <c r="B71" s="59" t="s">
        <v>4</v>
      </c>
      <c r="C71" s="59">
        <v>7</v>
      </c>
      <c r="D71" s="2" t="s">
        <v>117</v>
      </c>
      <c r="E71" s="2" t="s">
        <v>118</v>
      </c>
      <c r="F71" s="2" t="s">
        <v>574</v>
      </c>
      <c r="G71" s="8" t="s">
        <v>479</v>
      </c>
      <c r="H71" s="8" t="s">
        <v>465</v>
      </c>
      <c r="I71" s="8" t="s">
        <v>146</v>
      </c>
      <c r="J71" s="5" t="s">
        <v>151</v>
      </c>
      <c r="K71" s="3"/>
      <c r="L71" s="2"/>
      <c r="M71" s="2"/>
      <c r="N71" s="2"/>
      <c r="O71" s="42"/>
      <c r="P71" s="42"/>
      <c r="Q71" s="42"/>
      <c r="R71" s="5"/>
      <c r="S71" s="5"/>
      <c r="T71" s="2"/>
      <c r="U71" s="2" t="s">
        <v>351</v>
      </c>
      <c r="W71" s="3" t="s">
        <v>455</v>
      </c>
      <c r="X71" s="3" t="s">
        <v>455</v>
      </c>
      <c r="Y71" s="3" t="s">
        <v>455</v>
      </c>
      <c r="Z71" s="3"/>
      <c r="AA71" s="3" t="s">
        <v>494</v>
      </c>
      <c r="AB71" s="3"/>
      <c r="AC71" s="3" t="s">
        <v>498</v>
      </c>
      <c r="AD71" s="3" t="s">
        <v>149</v>
      </c>
    </row>
    <row r="72" spans="1:30" ht="75" hidden="1" x14ac:dyDescent="0.25">
      <c r="A72" s="59"/>
      <c r="B72" s="59" t="s">
        <v>4</v>
      </c>
      <c r="C72" s="59">
        <v>8</v>
      </c>
      <c r="D72" s="2" t="s">
        <v>119</v>
      </c>
      <c r="E72" s="2" t="s">
        <v>120</v>
      </c>
      <c r="F72" s="2" t="s">
        <v>501</v>
      </c>
      <c r="G72" s="8" t="s">
        <v>488</v>
      </c>
      <c r="H72" s="20" t="s">
        <v>144</v>
      </c>
      <c r="I72" s="8" t="s">
        <v>113</v>
      </c>
      <c r="J72" s="2" t="s">
        <v>13</v>
      </c>
      <c r="K72" s="2"/>
      <c r="L72" s="2"/>
      <c r="M72" s="2"/>
      <c r="N72" s="2"/>
      <c r="O72" s="42"/>
      <c r="P72" s="42"/>
      <c r="Q72" s="42"/>
      <c r="R72" s="5"/>
      <c r="S72" s="5"/>
      <c r="T72" s="2"/>
      <c r="U72" s="2" t="s">
        <v>351</v>
      </c>
      <c r="W72" s="3"/>
      <c r="X72" s="3" t="s">
        <v>432</v>
      </c>
      <c r="Y72" s="3"/>
      <c r="Z72" s="3"/>
      <c r="AA72" s="3" t="s">
        <v>494</v>
      </c>
      <c r="AB72" s="3"/>
      <c r="AC72" s="3" t="s">
        <v>498</v>
      </c>
      <c r="AD72" s="2"/>
    </row>
    <row r="73" spans="1:30" ht="60" hidden="1" x14ac:dyDescent="0.25">
      <c r="A73" s="59"/>
      <c r="B73" s="59" t="s">
        <v>4</v>
      </c>
      <c r="C73" s="59">
        <v>8</v>
      </c>
      <c r="D73" s="2" t="s">
        <v>119</v>
      </c>
      <c r="E73" s="2" t="s">
        <v>120</v>
      </c>
      <c r="F73" s="2" t="s">
        <v>501</v>
      </c>
      <c r="G73" s="8" t="s">
        <v>404</v>
      </c>
      <c r="H73" s="8" t="s">
        <v>405</v>
      </c>
      <c r="I73" s="20"/>
      <c r="J73" s="5" t="s">
        <v>151</v>
      </c>
      <c r="K73" s="2"/>
      <c r="L73" s="2"/>
      <c r="M73" s="2"/>
      <c r="N73" s="2"/>
      <c r="O73" s="42"/>
      <c r="P73" s="42"/>
      <c r="Q73" s="42"/>
      <c r="R73" s="5"/>
      <c r="S73" s="5"/>
      <c r="T73" s="2"/>
      <c r="U73" s="2" t="s">
        <v>398</v>
      </c>
      <c r="W73" s="3"/>
      <c r="X73" s="3"/>
      <c r="Y73" s="3"/>
      <c r="Z73" s="3"/>
      <c r="AA73" s="3" t="s">
        <v>494</v>
      </c>
      <c r="AB73" s="3"/>
      <c r="AC73" s="3" t="s">
        <v>498</v>
      </c>
      <c r="AD73" s="2"/>
    </row>
    <row r="74" spans="1:30" ht="60" x14ac:dyDescent="0.25">
      <c r="A74" s="59" t="s">
        <v>704</v>
      </c>
      <c r="B74" s="59" t="s">
        <v>4</v>
      </c>
      <c r="C74" s="59">
        <v>8</v>
      </c>
      <c r="D74" s="2" t="s">
        <v>119</v>
      </c>
      <c r="E74" s="2" t="s">
        <v>687</v>
      </c>
      <c r="F74" s="2" t="s">
        <v>501</v>
      </c>
      <c r="G74" s="8" t="s">
        <v>662</v>
      </c>
      <c r="H74" s="8" t="s">
        <v>597</v>
      </c>
      <c r="I74" s="8" t="s">
        <v>151</v>
      </c>
      <c r="J74" s="5" t="s">
        <v>596</v>
      </c>
      <c r="K74" s="3" t="s">
        <v>606</v>
      </c>
      <c r="L74" s="67">
        <v>46.94</v>
      </c>
      <c r="M74" s="3"/>
      <c r="N74" s="3"/>
      <c r="O74" s="67">
        <f t="shared" ref="O74:O75" si="4">(($S74-$L74)/21*6)+$L74</f>
        <v>47.610571428571426</v>
      </c>
      <c r="P74" s="67">
        <f t="shared" ref="P74:P75" si="5">(($S74-$L74)/21*10)+$L74</f>
        <v>48.057619047619049</v>
      </c>
      <c r="Q74" s="67">
        <f t="shared" ref="Q74:Q75" si="6">(($S74-$L74)/21*14)+$L74</f>
        <v>48.504666666666665</v>
      </c>
      <c r="R74" s="80">
        <f t="shared" ref="R74:R75" si="7">(($S74-$L74)/21*18)+$L74</f>
        <v>48.951714285714282</v>
      </c>
      <c r="S74" s="80">
        <f>L74*1.05</f>
        <v>49.286999999999999</v>
      </c>
      <c r="T74" s="70" t="s">
        <v>602</v>
      </c>
      <c r="U74" s="2" t="s">
        <v>397</v>
      </c>
      <c r="V74" t="s">
        <v>599</v>
      </c>
      <c r="W74" s="3"/>
      <c r="X74" s="3"/>
      <c r="Y74" s="3"/>
      <c r="Z74" s="3"/>
      <c r="AA74" s="3" t="s">
        <v>494</v>
      </c>
      <c r="AB74" s="3"/>
      <c r="AC74" s="3" t="s">
        <v>494</v>
      </c>
      <c r="AD74" s="2" t="s">
        <v>164</v>
      </c>
    </row>
    <row r="75" spans="1:30" ht="60" x14ac:dyDescent="0.25">
      <c r="A75" s="59" t="s">
        <v>705</v>
      </c>
      <c r="B75" s="59" t="s">
        <v>4</v>
      </c>
      <c r="C75" s="59">
        <v>8</v>
      </c>
      <c r="D75" s="2" t="s">
        <v>119</v>
      </c>
      <c r="E75" s="2" t="s">
        <v>687</v>
      </c>
      <c r="F75" s="2" t="s">
        <v>501</v>
      </c>
      <c r="G75" s="8" t="s">
        <v>663</v>
      </c>
      <c r="H75" s="8" t="s">
        <v>643</v>
      </c>
      <c r="I75" s="8" t="s">
        <v>113</v>
      </c>
      <c r="J75" s="2" t="s">
        <v>399</v>
      </c>
      <c r="K75" s="2">
        <v>2018</v>
      </c>
      <c r="L75" s="2">
        <v>71</v>
      </c>
      <c r="M75" s="2">
        <v>2019</v>
      </c>
      <c r="N75" s="2">
        <v>71</v>
      </c>
      <c r="O75" s="68">
        <f t="shared" si="4"/>
        <v>73.285714285714292</v>
      </c>
      <c r="P75" s="68">
        <f t="shared" si="5"/>
        <v>74.80952380952381</v>
      </c>
      <c r="Q75" s="68">
        <f t="shared" si="6"/>
        <v>76.333333333333329</v>
      </c>
      <c r="R75" s="79">
        <f t="shared" si="7"/>
        <v>77.857142857142861</v>
      </c>
      <c r="S75" s="79">
        <v>79</v>
      </c>
      <c r="T75" s="73" t="s">
        <v>626</v>
      </c>
      <c r="U75" s="2" t="s">
        <v>397</v>
      </c>
      <c r="V75" t="s">
        <v>599</v>
      </c>
      <c r="W75" t="s">
        <v>432</v>
      </c>
      <c r="X75" t="s">
        <v>432</v>
      </c>
      <c r="AA75" s="3" t="s">
        <v>494</v>
      </c>
      <c r="AC75" s="3" t="s">
        <v>494</v>
      </c>
      <c r="AD75" s="2" t="s">
        <v>149</v>
      </c>
    </row>
    <row r="76" spans="1:30" ht="60" hidden="1" x14ac:dyDescent="0.25">
      <c r="A76" s="59"/>
      <c r="B76" s="59" t="s">
        <v>4</v>
      </c>
      <c r="C76" s="59">
        <v>8</v>
      </c>
      <c r="D76" s="2" t="s">
        <v>119</v>
      </c>
      <c r="E76" s="2" t="s">
        <v>120</v>
      </c>
      <c r="F76" s="2" t="s">
        <v>501</v>
      </c>
      <c r="G76" s="8" t="s">
        <v>534</v>
      </c>
      <c r="H76" s="8" t="s">
        <v>533</v>
      </c>
      <c r="I76" s="8" t="s">
        <v>113</v>
      </c>
      <c r="J76" s="2" t="s">
        <v>13</v>
      </c>
      <c r="K76" s="2">
        <v>2018</v>
      </c>
      <c r="L76" s="42">
        <v>0.60299999999999998</v>
      </c>
      <c r="M76" s="2">
        <v>2019</v>
      </c>
      <c r="N76" s="42">
        <v>0.57399999999999995</v>
      </c>
      <c r="O76" s="42"/>
      <c r="P76" s="42"/>
      <c r="Q76" s="42"/>
      <c r="R76" s="5"/>
      <c r="S76" s="5"/>
      <c r="T76" s="2"/>
      <c r="U76" s="2" t="s">
        <v>398</v>
      </c>
      <c r="W76" t="s">
        <v>432</v>
      </c>
      <c r="X76" t="s">
        <v>432</v>
      </c>
      <c r="AA76" s="3" t="s">
        <v>494</v>
      </c>
      <c r="AC76" s="3" t="s">
        <v>494</v>
      </c>
      <c r="AD76" s="2" t="s">
        <v>149</v>
      </c>
    </row>
    <row r="77" spans="1:30" ht="60" hidden="1" x14ac:dyDescent="0.25">
      <c r="A77" s="59"/>
      <c r="B77" s="59" t="s">
        <v>4</v>
      </c>
      <c r="C77" s="59">
        <v>8</v>
      </c>
      <c r="D77" s="2" t="s">
        <v>119</v>
      </c>
      <c r="E77" s="2" t="s">
        <v>120</v>
      </c>
      <c r="F77" s="2" t="s">
        <v>501</v>
      </c>
      <c r="G77" s="8" t="s">
        <v>555</v>
      </c>
      <c r="H77" s="8" t="s">
        <v>544</v>
      </c>
      <c r="I77" s="8" t="s">
        <v>113</v>
      </c>
      <c r="J77" s="2" t="s">
        <v>159</v>
      </c>
      <c r="K77" s="2">
        <v>2018</v>
      </c>
      <c r="L77" s="2">
        <v>76</v>
      </c>
      <c r="M77" s="2">
        <v>2019</v>
      </c>
      <c r="N77" s="2">
        <v>78</v>
      </c>
      <c r="O77" s="42"/>
      <c r="P77" s="42"/>
      <c r="Q77" s="42"/>
      <c r="R77" s="5"/>
      <c r="S77" s="5"/>
      <c r="T77" s="2"/>
      <c r="U77" s="2" t="s">
        <v>398</v>
      </c>
      <c r="W77" t="s">
        <v>432</v>
      </c>
      <c r="X77" t="s">
        <v>432</v>
      </c>
      <c r="Y77" t="s">
        <v>432</v>
      </c>
      <c r="AA77" s="3" t="s">
        <v>494</v>
      </c>
      <c r="AC77" s="3" t="s">
        <v>494</v>
      </c>
      <c r="AD77" s="2" t="s">
        <v>150</v>
      </c>
    </row>
    <row r="78" spans="1:30" ht="60" hidden="1" x14ac:dyDescent="0.25">
      <c r="A78" s="59"/>
      <c r="B78" s="59" t="s">
        <v>4</v>
      </c>
      <c r="C78" s="59">
        <v>8</v>
      </c>
      <c r="D78" s="2" t="s">
        <v>119</v>
      </c>
      <c r="E78" s="2" t="s">
        <v>120</v>
      </c>
      <c r="F78" s="2" t="s">
        <v>501</v>
      </c>
      <c r="G78" s="8" t="s">
        <v>480</v>
      </c>
      <c r="H78" s="20" t="s">
        <v>144</v>
      </c>
      <c r="I78" s="40" t="s">
        <v>374</v>
      </c>
      <c r="J78" s="2" t="s">
        <v>16</v>
      </c>
      <c r="K78" s="2"/>
      <c r="L78" s="2"/>
      <c r="M78" s="2"/>
      <c r="N78" s="2"/>
      <c r="O78" s="42"/>
      <c r="P78" s="42"/>
      <c r="Q78" s="42"/>
      <c r="R78" s="5"/>
      <c r="S78" s="5"/>
      <c r="T78" s="2"/>
      <c r="U78" s="2" t="s">
        <v>398</v>
      </c>
      <c r="W78" s="3"/>
      <c r="X78" s="3"/>
      <c r="Y78" s="3" t="s">
        <v>432</v>
      </c>
      <c r="Z78" s="3"/>
      <c r="AA78" s="3" t="s">
        <v>494</v>
      </c>
      <c r="AB78" s="3"/>
      <c r="AC78" s="3" t="s">
        <v>494</v>
      </c>
      <c r="AD78" s="2" t="s">
        <v>150</v>
      </c>
    </row>
    <row r="79" spans="1:30" ht="135" hidden="1" x14ac:dyDescent="0.25">
      <c r="A79" s="59"/>
      <c r="B79" s="59" t="s">
        <v>4</v>
      </c>
      <c r="C79" s="59">
        <v>9</v>
      </c>
      <c r="D79" s="2" t="s">
        <v>121</v>
      </c>
      <c r="E79" s="2" t="s">
        <v>122</v>
      </c>
      <c r="F79" s="2" t="s">
        <v>575</v>
      </c>
      <c r="G79" s="8" t="s">
        <v>445</v>
      </c>
      <c r="H79" s="20" t="s">
        <v>144</v>
      </c>
      <c r="I79" s="8" t="s">
        <v>143</v>
      </c>
      <c r="J79" s="2" t="s">
        <v>28</v>
      </c>
      <c r="K79" s="2"/>
      <c r="L79" s="2"/>
      <c r="M79" s="2"/>
      <c r="N79" s="2"/>
      <c r="O79" s="42"/>
      <c r="P79" s="42"/>
      <c r="Q79" s="42"/>
      <c r="R79" s="5"/>
      <c r="S79" s="5"/>
      <c r="T79" s="2"/>
      <c r="U79" s="2" t="s">
        <v>351</v>
      </c>
      <c r="W79" s="3" t="s">
        <v>455</v>
      </c>
      <c r="X79" s="3" t="s">
        <v>455</v>
      </c>
      <c r="Y79" s="3"/>
      <c r="Z79" s="3"/>
      <c r="AA79" s="3" t="s">
        <v>494</v>
      </c>
      <c r="AB79" s="3"/>
      <c r="AC79" s="3" t="s">
        <v>495</v>
      </c>
      <c r="AD79" s="2"/>
    </row>
    <row r="80" spans="1:30" ht="45" x14ac:dyDescent="0.25">
      <c r="A80" s="59" t="s">
        <v>706</v>
      </c>
      <c r="B80" s="59" t="s">
        <v>4</v>
      </c>
      <c r="C80" s="59">
        <v>9</v>
      </c>
      <c r="D80" s="2" t="s">
        <v>121</v>
      </c>
      <c r="E80" s="2" t="s">
        <v>122</v>
      </c>
      <c r="F80" s="2" t="s">
        <v>575</v>
      </c>
      <c r="G80" s="8" t="s">
        <v>664</v>
      </c>
      <c r="H80" s="56" t="s">
        <v>650</v>
      </c>
      <c r="I80" s="8"/>
      <c r="J80" s="5" t="s">
        <v>151</v>
      </c>
      <c r="K80" s="2">
        <v>2018</v>
      </c>
      <c r="L80" s="42">
        <f>1/6</f>
        <v>0.16666666666666666</v>
      </c>
      <c r="M80" s="2"/>
      <c r="N80" s="2"/>
      <c r="O80" s="42">
        <f t="shared" ref="O80:O83" si="8">(($S80-$L80)/21*6)+$L80</f>
        <v>0.40476190476190477</v>
      </c>
      <c r="P80" s="42">
        <f t="shared" ref="P80:P83" si="9">(($S80-$L80)/21*10)+$L80</f>
        <v>0.56349206349206349</v>
      </c>
      <c r="Q80" s="42">
        <f t="shared" ref="Q80:Q83" si="10">(($S80-$L80)/21*14)+$L80</f>
        <v>0.72222222222222221</v>
      </c>
      <c r="R80" s="77">
        <f t="shared" ref="R80:R83" si="11">(($S80-$L80)/21*18)+$L80</f>
        <v>0.88095238095238104</v>
      </c>
      <c r="S80" s="77">
        <v>1</v>
      </c>
      <c r="T80" s="2"/>
      <c r="U80" s="2" t="s">
        <v>397</v>
      </c>
      <c r="V80" s="2"/>
      <c r="W80" t="s">
        <v>432</v>
      </c>
      <c r="AA80" s="3" t="s">
        <v>494</v>
      </c>
      <c r="AC80" s="3" t="s">
        <v>498</v>
      </c>
      <c r="AD80" s="2" t="s">
        <v>150</v>
      </c>
    </row>
    <row r="81" spans="1:30" ht="60" x14ac:dyDescent="0.25">
      <c r="A81" s="84" t="s">
        <v>707</v>
      </c>
      <c r="B81" s="76" t="s">
        <v>5</v>
      </c>
      <c r="C81" s="76">
        <v>10</v>
      </c>
      <c r="D81" s="2" t="s">
        <v>123</v>
      </c>
      <c r="E81" s="2" t="s">
        <v>124</v>
      </c>
      <c r="F81" s="2" t="s">
        <v>502</v>
      </c>
      <c r="G81" s="8" t="s">
        <v>665</v>
      </c>
      <c r="H81" s="8" t="s">
        <v>376</v>
      </c>
      <c r="I81" s="8" t="s">
        <v>143</v>
      </c>
      <c r="J81" s="20" t="s">
        <v>688</v>
      </c>
      <c r="K81" s="2">
        <v>2018</v>
      </c>
      <c r="L81" s="42">
        <v>0.76100000000000001</v>
      </c>
      <c r="M81" s="2"/>
      <c r="N81" s="2"/>
      <c r="O81" s="42">
        <f t="shared" si="8"/>
        <v>0.80071428571428571</v>
      </c>
      <c r="P81" s="42">
        <f t="shared" si="9"/>
        <v>0.82719047619047625</v>
      </c>
      <c r="Q81" s="42">
        <f t="shared" si="10"/>
        <v>0.85366666666666668</v>
      </c>
      <c r="R81" s="75">
        <f t="shared" si="11"/>
        <v>0.88014285714285712</v>
      </c>
      <c r="S81" s="75">
        <v>0.9</v>
      </c>
      <c r="T81" s="73" t="s">
        <v>634</v>
      </c>
      <c r="U81" s="2" t="s">
        <v>397</v>
      </c>
      <c r="V81" t="s">
        <v>599</v>
      </c>
      <c r="W81" s="3"/>
      <c r="X81" s="3"/>
      <c r="Y81" s="3"/>
      <c r="Z81" s="3"/>
      <c r="AA81" s="3" t="s">
        <v>494</v>
      </c>
      <c r="AB81" s="3"/>
      <c r="AC81" s="3" t="s">
        <v>494</v>
      </c>
      <c r="AD81" s="2" t="s">
        <v>149</v>
      </c>
    </row>
    <row r="82" spans="1:30" ht="45" x14ac:dyDescent="0.25">
      <c r="A82" s="84" t="s">
        <v>708</v>
      </c>
      <c r="B82" s="76" t="s">
        <v>5</v>
      </c>
      <c r="C82" s="76">
        <v>10</v>
      </c>
      <c r="D82" s="2" t="s">
        <v>123</v>
      </c>
      <c r="E82" s="2" t="s">
        <v>124</v>
      </c>
      <c r="F82" s="2" t="s">
        <v>502</v>
      </c>
      <c r="G82" s="8" t="s">
        <v>666</v>
      </c>
      <c r="H82" s="8" t="s">
        <v>571</v>
      </c>
      <c r="I82" s="8"/>
      <c r="J82" s="2" t="s">
        <v>685</v>
      </c>
      <c r="K82" s="2">
        <v>2016</v>
      </c>
      <c r="L82" s="42">
        <v>0.23599999999999999</v>
      </c>
      <c r="M82" s="2"/>
      <c r="N82" s="2"/>
      <c r="O82" s="42">
        <f t="shared" si="8"/>
        <v>0.31171428571428572</v>
      </c>
      <c r="P82" s="42">
        <f t="shared" si="9"/>
        <v>0.36219047619047617</v>
      </c>
      <c r="Q82" s="42">
        <f t="shared" si="10"/>
        <v>0.41266666666666668</v>
      </c>
      <c r="R82" s="75">
        <f t="shared" si="11"/>
        <v>0.46314285714285713</v>
      </c>
      <c r="S82" s="75">
        <v>0.501</v>
      </c>
      <c r="T82" s="66" t="s">
        <v>604</v>
      </c>
      <c r="U82" s="2" t="s">
        <v>397</v>
      </c>
      <c r="V82" t="s">
        <v>599</v>
      </c>
      <c r="W82" t="s">
        <v>432</v>
      </c>
      <c r="X82" t="s">
        <v>432</v>
      </c>
      <c r="Y82" t="s">
        <v>432</v>
      </c>
      <c r="Z82" s="3"/>
      <c r="AA82" s="3" t="s">
        <v>494</v>
      </c>
      <c r="AB82" s="3"/>
      <c r="AC82" s="3" t="s">
        <v>494</v>
      </c>
      <c r="AD82" s="2" t="s">
        <v>149</v>
      </c>
    </row>
    <row r="83" spans="1:30" ht="45" x14ac:dyDescent="0.25">
      <c r="A83" s="84" t="s">
        <v>709</v>
      </c>
      <c r="B83" s="76" t="s">
        <v>5</v>
      </c>
      <c r="C83" s="76">
        <v>10</v>
      </c>
      <c r="D83" s="2" t="s">
        <v>123</v>
      </c>
      <c r="E83" s="2" t="s">
        <v>124</v>
      </c>
      <c r="F83" s="2" t="s">
        <v>502</v>
      </c>
      <c r="G83" s="8" t="s">
        <v>741</v>
      </c>
      <c r="H83" s="8" t="s">
        <v>644</v>
      </c>
      <c r="I83" s="8"/>
      <c r="J83" s="2" t="s">
        <v>685</v>
      </c>
      <c r="K83" s="2">
        <v>2016</v>
      </c>
      <c r="L83" s="42">
        <v>0.1104</v>
      </c>
      <c r="M83" s="2"/>
      <c r="N83" s="2"/>
      <c r="O83" s="42">
        <f t="shared" si="8"/>
        <v>0.11197714285714286</v>
      </c>
      <c r="P83" s="42">
        <f t="shared" si="9"/>
        <v>0.11302857142857144</v>
      </c>
      <c r="Q83" s="42">
        <f t="shared" si="10"/>
        <v>0.11408</v>
      </c>
      <c r="R83" s="75">
        <f t="shared" si="11"/>
        <v>0.11513142857142858</v>
      </c>
      <c r="S83" s="75">
        <f>L83*1.05</f>
        <v>0.11592000000000001</v>
      </c>
      <c r="T83" s="70" t="s">
        <v>602</v>
      </c>
      <c r="U83" s="2" t="s">
        <v>397</v>
      </c>
      <c r="V83" t="s">
        <v>599</v>
      </c>
      <c r="Z83" s="3"/>
      <c r="AA83" s="3"/>
      <c r="AB83" s="3"/>
      <c r="AC83" s="3"/>
      <c r="AD83" s="2"/>
    </row>
    <row r="84" spans="1:30" ht="60" hidden="1" x14ac:dyDescent="0.25">
      <c r="A84" s="84"/>
      <c r="B84" s="76" t="s">
        <v>5</v>
      </c>
      <c r="C84" s="76">
        <v>10</v>
      </c>
      <c r="D84" s="2" t="s">
        <v>123</v>
      </c>
      <c r="E84" s="2" t="s">
        <v>124</v>
      </c>
      <c r="F84" s="2" t="s">
        <v>502</v>
      </c>
      <c r="G84" s="8" t="s">
        <v>489</v>
      </c>
      <c r="H84" s="8" t="s">
        <v>378</v>
      </c>
      <c r="I84" s="8" t="s">
        <v>165</v>
      </c>
      <c r="J84" s="2" t="s">
        <v>13</v>
      </c>
      <c r="K84" s="2">
        <v>2018</v>
      </c>
      <c r="L84" s="42">
        <v>0.33300000000000002</v>
      </c>
      <c r="M84" s="2">
        <v>2019</v>
      </c>
      <c r="N84" s="42">
        <v>0.32600000000000001</v>
      </c>
      <c r="O84" s="42"/>
      <c r="P84" s="42"/>
      <c r="Q84" s="42"/>
      <c r="R84" s="5"/>
      <c r="S84" s="5"/>
      <c r="T84" s="2"/>
      <c r="U84" s="2" t="s">
        <v>401</v>
      </c>
      <c r="W84" t="s">
        <v>432</v>
      </c>
      <c r="X84" t="s">
        <v>432</v>
      </c>
      <c r="Y84" t="s">
        <v>455</v>
      </c>
      <c r="AA84" s="3" t="s">
        <v>494</v>
      </c>
      <c r="AC84" s="3" t="s">
        <v>498</v>
      </c>
      <c r="AD84" s="2" t="s">
        <v>149</v>
      </c>
    </row>
    <row r="85" spans="1:30" ht="60" hidden="1" x14ac:dyDescent="0.25">
      <c r="A85" s="84"/>
      <c r="B85" s="76" t="s">
        <v>5</v>
      </c>
      <c r="C85" s="76">
        <v>10</v>
      </c>
      <c r="D85" s="2" t="s">
        <v>123</v>
      </c>
      <c r="E85" s="2" t="s">
        <v>124</v>
      </c>
      <c r="F85" s="2" t="s">
        <v>502</v>
      </c>
      <c r="G85" s="8" t="s">
        <v>618</v>
      </c>
      <c r="H85" s="8" t="s">
        <v>375</v>
      </c>
      <c r="I85" s="8" t="s">
        <v>143</v>
      </c>
      <c r="J85" s="2" t="s">
        <v>28</v>
      </c>
      <c r="K85" s="2">
        <v>2016</v>
      </c>
      <c r="L85" s="42">
        <v>0.19500000000000001</v>
      </c>
      <c r="M85" s="2"/>
      <c r="N85" s="2"/>
      <c r="O85" s="42"/>
      <c r="P85" s="42"/>
      <c r="Q85" s="42"/>
      <c r="R85" s="5"/>
      <c r="S85" s="5"/>
      <c r="T85" s="2"/>
      <c r="U85" s="2" t="s">
        <v>398</v>
      </c>
      <c r="W85" t="s">
        <v>432</v>
      </c>
      <c r="X85" t="s">
        <v>432</v>
      </c>
      <c r="Y85" t="s">
        <v>432</v>
      </c>
      <c r="AA85" s="3" t="s">
        <v>494</v>
      </c>
      <c r="AC85" s="3" t="s">
        <v>498</v>
      </c>
      <c r="AD85" s="2" t="s">
        <v>149</v>
      </c>
    </row>
    <row r="86" spans="1:30" ht="75" hidden="1" x14ac:dyDescent="0.25">
      <c r="A86" s="84"/>
      <c r="B86" s="76" t="s">
        <v>5</v>
      </c>
      <c r="C86" s="76">
        <v>10</v>
      </c>
      <c r="D86" s="2" t="s">
        <v>123</v>
      </c>
      <c r="E86" s="2" t="s">
        <v>124</v>
      </c>
      <c r="F86" s="2" t="s">
        <v>502</v>
      </c>
      <c r="G86" s="8" t="s">
        <v>621</v>
      </c>
      <c r="H86" s="8" t="s">
        <v>620</v>
      </c>
      <c r="I86" s="8" t="s">
        <v>622</v>
      </c>
      <c r="J86" s="2" t="s">
        <v>619</v>
      </c>
      <c r="K86" s="2"/>
      <c r="L86" s="42"/>
      <c r="M86" s="2"/>
      <c r="N86" s="2"/>
      <c r="O86" s="42"/>
      <c r="P86" s="42"/>
      <c r="Q86" s="42"/>
      <c r="R86" s="5"/>
      <c r="S86" s="5"/>
      <c r="T86" s="2"/>
      <c r="U86" s="2"/>
      <c r="AA86" s="3"/>
      <c r="AC86" s="3"/>
      <c r="AD86" s="2"/>
    </row>
    <row r="87" spans="1:30" ht="180" hidden="1" x14ac:dyDescent="0.25">
      <c r="A87" s="84"/>
      <c r="B87" s="76" t="s">
        <v>5</v>
      </c>
      <c r="C87" s="76">
        <v>10</v>
      </c>
      <c r="D87" s="2" t="s">
        <v>123</v>
      </c>
      <c r="E87" s="2" t="s">
        <v>124</v>
      </c>
      <c r="F87" s="2" t="s">
        <v>502</v>
      </c>
      <c r="G87" s="8" t="s">
        <v>93</v>
      </c>
      <c r="H87" s="12"/>
      <c r="I87" s="8" t="s">
        <v>143</v>
      </c>
      <c r="J87" s="2"/>
      <c r="K87" s="2"/>
      <c r="L87" s="2"/>
      <c r="M87" s="2"/>
      <c r="N87" s="2"/>
      <c r="O87" s="42"/>
      <c r="P87" s="42"/>
      <c r="Q87" s="42"/>
      <c r="R87" s="5"/>
      <c r="S87" s="5"/>
      <c r="T87" s="2"/>
      <c r="U87" s="2" t="s">
        <v>351</v>
      </c>
      <c r="W87" s="3"/>
      <c r="X87" s="3"/>
      <c r="Y87" s="3"/>
      <c r="Z87" s="3"/>
      <c r="AA87" s="3" t="s">
        <v>494</v>
      </c>
      <c r="AB87" s="3"/>
      <c r="AC87" s="3" t="s">
        <v>495</v>
      </c>
      <c r="AD87" s="2"/>
    </row>
    <row r="88" spans="1:30" ht="60" hidden="1" x14ac:dyDescent="0.25">
      <c r="A88" s="84"/>
      <c r="B88" s="76" t="s">
        <v>5</v>
      </c>
      <c r="C88" s="76">
        <v>10</v>
      </c>
      <c r="D88" s="2" t="s">
        <v>123</v>
      </c>
      <c r="E88" s="2" t="s">
        <v>124</v>
      </c>
      <c r="F88" s="2" t="s">
        <v>502</v>
      </c>
      <c r="G88" s="8" t="s">
        <v>482</v>
      </c>
      <c r="H88" s="8" t="s">
        <v>357</v>
      </c>
      <c r="I88" s="8" t="s">
        <v>113</v>
      </c>
      <c r="J88" s="2" t="s">
        <v>13</v>
      </c>
      <c r="K88" s="2">
        <v>2018</v>
      </c>
      <c r="L88" s="42">
        <v>0.77400000000000002</v>
      </c>
      <c r="M88" s="2">
        <v>2019</v>
      </c>
      <c r="N88" s="42">
        <v>0.80900000000000005</v>
      </c>
      <c r="O88" s="42"/>
      <c r="P88" s="42"/>
      <c r="Q88" s="42"/>
      <c r="R88" s="5"/>
      <c r="S88" s="5"/>
      <c r="T88" s="2"/>
      <c r="U88" s="2" t="s">
        <v>398</v>
      </c>
      <c r="W88" t="s">
        <v>432</v>
      </c>
      <c r="X88" t="s">
        <v>432</v>
      </c>
      <c r="Y88" t="s">
        <v>432</v>
      </c>
      <c r="AA88" s="3" t="s">
        <v>494</v>
      </c>
      <c r="AC88" s="3" t="s">
        <v>498</v>
      </c>
      <c r="AD88" s="2" t="s">
        <v>149</v>
      </c>
    </row>
    <row r="89" spans="1:30" ht="45" hidden="1" x14ac:dyDescent="0.25">
      <c r="A89" s="84"/>
      <c r="B89" s="76" t="s">
        <v>5</v>
      </c>
      <c r="C89" s="76">
        <v>10</v>
      </c>
      <c r="D89" s="2" t="s">
        <v>123</v>
      </c>
      <c r="E89" s="2" t="s">
        <v>124</v>
      </c>
      <c r="F89" s="2" t="s">
        <v>502</v>
      </c>
      <c r="G89" s="8" t="s">
        <v>535</v>
      </c>
      <c r="H89" s="8" t="s">
        <v>377</v>
      </c>
      <c r="I89" s="8" t="s">
        <v>158</v>
      </c>
      <c r="J89" s="2" t="s">
        <v>13</v>
      </c>
      <c r="K89" s="2">
        <v>2018</v>
      </c>
      <c r="L89" s="28">
        <v>0.62</v>
      </c>
      <c r="M89" s="2">
        <v>2019</v>
      </c>
      <c r="N89" s="42">
        <v>0.59799999999999998</v>
      </c>
      <c r="O89" s="42"/>
      <c r="P89" s="42"/>
      <c r="Q89" s="42"/>
      <c r="R89" s="5"/>
      <c r="S89" s="5"/>
      <c r="T89" s="2"/>
      <c r="U89" s="2" t="s">
        <v>351</v>
      </c>
      <c r="W89" t="s">
        <v>432</v>
      </c>
      <c r="X89" t="s">
        <v>432</v>
      </c>
      <c r="Y89" t="s">
        <v>455</v>
      </c>
      <c r="AA89" s="3" t="s">
        <v>494</v>
      </c>
      <c r="AC89" s="3" t="s">
        <v>498</v>
      </c>
      <c r="AD89" s="2" t="s">
        <v>150</v>
      </c>
    </row>
    <row r="90" spans="1:30" ht="60" hidden="1" x14ac:dyDescent="0.25">
      <c r="A90" s="84"/>
      <c r="B90" s="76" t="s">
        <v>5</v>
      </c>
      <c r="C90" s="76">
        <v>11</v>
      </c>
      <c r="D90" s="2" t="s">
        <v>125</v>
      </c>
      <c r="E90" s="2" t="s">
        <v>126</v>
      </c>
      <c r="F90" s="2" t="s">
        <v>502</v>
      </c>
      <c r="G90" s="8" t="s">
        <v>536</v>
      </c>
      <c r="H90" s="8" t="s">
        <v>379</v>
      </c>
      <c r="I90" s="8" t="s">
        <v>113</v>
      </c>
      <c r="J90" s="2" t="s">
        <v>13</v>
      </c>
      <c r="K90" s="3">
        <v>2018</v>
      </c>
      <c r="L90" s="42">
        <v>4.4999999999999998E-2</v>
      </c>
      <c r="M90" s="2">
        <v>2019</v>
      </c>
      <c r="N90" s="42">
        <v>4.9000000000000002E-2</v>
      </c>
      <c r="O90" s="42"/>
      <c r="P90" s="42"/>
      <c r="Q90" s="42"/>
      <c r="R90" s="5"/>
      <c r="S90" s="5"/>
      <c r="T90" s="2"/>
      <c r="U90" s="2" t="s">
        <v>351</v>
      </c>
      <c r="W90" t="s">
        <v>432</v>
      </c>
      <c r="X90" t="s">
        <v>432</v>
      </c>
      <c r="Y90" t="s">
        <v>455</v>
      </c>
      <c r="AA90" s="3" t="s">
        <v>494</v>
      </c>
      <c r="AC90" s="3" t="s">
        <v>498</v>
      </c>
      <c r="AD90" s="3" t="s">
        <v>149</v>
      </c>
    </row>
    <row r="91" spans="1:30" ht="60" hidden="1" x14ac:dyDescent="0.25">
      <c r="A91" s="84"/>
      <c r="B91" s="76" t="s">
        <v>5</v>
      </c>
      <c r="C91" s="76">
        <v>11</v>
      </c>
      <c r="D91" s="2" t="s">
        <v>125</v>
      </c>
      <c r="E91" s="2" t="s">
        <v>126</v>
      </c>
      <c r="F91" s="2" t="s">
        <v>502</v>
      </c>
      <c r="G91" s="8" t="s">
        <v>537</v>
      </c>
      <c r="H91" s="8" t="s">
        <v>481</v>
      </c>
      <c r="I91" s="8"/>
      <c r="J91" s="2"/>
      <c r="K91" s="3"/>
      <c r="L91" s="2"/>
      <c r="M91" s="2"/>
      <c r="N91" s="2"/>
      <c r="O91" s="42"/>
      <c r="P91" s="42"/>
      <c r="Q91" s="42"/>
      <c r="R91" s="5"/>
      <c r="S91" s="5"/>
      <c r="T91" s="2"/>
      <c r="U91" s="2" t="s">
        <v>401</v>
      </c>
      <c r="W91" s="3"/>
      <c r="X91" s="3"/>
      <c r="Y91" s="3"/>
      <c r="Z91" s="3"/>
      <c r="AA91" s="3" t="s">
        <v>494</v>
      </c>
      <c r="AB91" s="3"/>
      <c r="AC91" s="3" t="s">
        <v>498</v>
      </c>
      <c r="AD91" s="3" t="s">
        <v>150</v>
      </c>
    </row>
    <row r="92" spans="1:30" ht="240" hidden="1" x14ac:dyDescent="0.25">
      <c r="A92" s="84"/>
      <c r="B92" s="76" t="s">
        <v>5</v>
      </c>
      <c r="C92" s="76">
        <v>11</v>
      </c>
      <c r="D92" s="2" t="s">
        <v>125</v>
      </c>
      <c r="E92" s="2" t="s">
        <v>126</v>
      </c>
      <c r="F92" s="2" t="s">
        <v>502</v>
      </c>
      <c r="G92" s="8" t="s">
        <v>166</v>
      </c>
      <c r="H92" s="20" t="s">
        <v>144</v>
      </c>
      <c r="I92" s="8"/>
      <c r="J92" s="2"/>
      <c r="K92" s="3"/>
      <c r="L92" s="2"/>
      <c r="M92" s="2"/>
      <c r="N92" s="2"/>
      <c r="O92" s="42"/>
      <c r="P92" s="42"/>
      <c r="Q92" s="42"/>
      <c r="R92" s="5"/>
      <c r="S92" s="5"/>
      <c r="T92" s="2"/>
      <c r="U92" s="2" t="s">
        <v>455</v>
      </c>
      <c r="W92" s="3"/>
      <c r="X92" s="3"/>
      <c r="Y92" s="3"/>
      <c r="Z92" s="3"/>
      <c r="AA92" s="3" t="s">
        <v>494</v>
      </c>
      <c r="AB92" s="3"/>
      <c r="AC92" s="3" t="s">
        <v>494</v>
      </c>
      <c r="AD92" s="3" t="s">
        <v>150</v>
      </c>
    </row>
    <row r="93" spans="1:30" ht="75" x14ac:dyDescent="0.25">
      <c r="A93" s="84" t="s">
        <v>710</v>
      </c>
      <c r="B93" s="76" t="s">
        <v>5</v>
      </c>
      <c r="C93" s="76">
        <v>11</v>
      </c>
      <c r="D93" s="2" t="s">
        <v>125</v>
      </c>
      <c r="E93" s="2" t="s">
        <v>126</v>
      </c>
      <c r="F93" s="2" t="s">
        <v>502</v>
      </c>
      <c r="G93" s="8" t="s">
        <v>681</v>
      </c>
      <c r="H93" s="8" t="s">
        <v>556</v>
      </c>
      <c r="I93" s="8"/>
      <c r="J93" s="2" t="s">
        <v>569</v>
      </c>
      <c r="K93" s="3">
        <v>2018</v>
      </c>
      <c r="L93" s="2">
        <v>2</v>
      </c>
      <c r="M93" s="2">
        <v>2019</v>
      </c>
      <c r="N93" s="2">
        <v>1</v>
      </c>
      <c r="O93" s="68">
        <v>0</v>
      </c>
      <c r="P93" s="68">
        <v>0</v>
      </c>
      <c r="Q93" s="68">
        <v>0</v>
      </c>
      <c r="R93" s="68">
        <f t="shared" ref="R93:R94" si="12">(($S93-$L93)/21*18)+$L93</f>
        <v>0.28571428571428581</v>
      </c>
      <c r="S93" s="5">
        <v>0</v>
      </c>
      <c r="T93" s="66" t="s">
        <v>598</v>
      </c>
      <c r="U93" s="2" t="s">
        <v>397</v>
      </c>
      <c r="V93" t="s">
        <v>649</v>
      </c>
      <c r="W93" t="s">
        <v>432</v>
      </c>
      <c r="X93" t="s">
        <v>432</v>
      </c>
      <c r="Y93" t="s">
        <v>432</v>
      </c>
      <c r="AA93" s="3" t="s">
        <v>494</v>
      </c>
      <c r="AC93" s="3" t="s">
        <v>494</v>
      </c>
      <c r="AD93" s="3" t="s">
        <v>150</v>
      </c>
    </row>
    <row r="94" spans="1:30" ht="60" x14ac:dyDescent="0.25">
      <c r="A94" s="84" t="s">
        <v>711</v>
      </c>
      <c r="B94" s="76" t="s">
        <v>5</v>
      </c>
      <c r="C94" s="76">
        <v>11</v>
      </c>
      <c r="D94" s="2" t="s">
        <v>125</v>
      </c>
      <c r="E94" s="2" t="s">
        <v>126</v>
      </c>
      <c r="F94" s="2" t="s">
        <v>502</v>
      </c>
      <c r="G94" s="8" t="s">
        <v>667</v>
      </c>
      <c r="H94" s="8" t="s">
        <v>610</v>
      </c>
      <c r="I94" s="8"/>
      <c r="J94" s="2" t="s">
        <v>15</v>
      </c>
      <c r="K94" s="3">
        <v>2018</v>
      </c>
      <c r="L94" s="2">
        <v>0</v>
      </c>
      <c r="M94" s="2"/>
      <c r="N94" s="2"/>
      <c r="O94" s="42">
        <f t="shared" ref="O94" si="13">(($S94-$L94)/21*6)+$L94</f>
        <v>0.2857142857142857</v>
      </c>
      <c r="P94" s="42">
        <f t="shared" ref="P94" si="14">(($S94-$L94)/21*10)+$L94</f>
        <v>0.47619047619047616</v>
      </c>
      <c r="Q94" s="42">
        <f t="shared" ref="Q94" si="15">(($S94-$L94)/21*14)+$L94</f>
        <v>0.66666666666666663</v>
      </c>
      <c r="R94" s="77">
        <f t="shared" si="12"/>
        <v>0.8571428571428571</v>
      </c>
      <c r="S94" s="77">
        <v>1</v>
      </c>
      <c r="T94" s="73" t="s">
        <v>625</v>
      </c>
      <c r="U94" s="2" t="s">
        <v>397</v>
      </c>
      <c r="V94" t="s">
        <v>599</v>
      </c>
      <c r="AA94" s="3"/>
      <c r="AC94" s="3"/>
      <c r="AD94" s="3"/>
    </row>
    <row r="95" spans="1:30" ht="75" hidden="1" x14ac:dyDescent="0.25">
      <c r="A95" s="84"/>
      <c r="B95" s="76" t="s">
        <v>5</v>
      </c>
      <c r="C95" s="76">
        <v>11</v>
      </c>
      <c r="D95" s="2" t="s">
        <v>125</v>
      </c>
      <c r="E95" s="2" t="s">
        <v>126</v>
      </c>
      <c r="F95" s="2" t="s">
        <v>502</v>
      </c>
      <c r="G95" s="8" t="s">
        <v>203</v>
      </c>
      <c r="H95" s="8" t="s">
        <v>557</v>
      </c>
      <c r="I95" s="8"/>
      <c r="J95" s="2" t="s">
        <v>569</v>
      </c>
      <c r="K95" s="3">
        <v>2018</v>
      </c>
      <c r="L95" s="2">
        <v>6</v>
      </c>
      <c r="M95" s="2">
        <v>2019</v>
      </c>
      <c r="N95" s="2">
        <v>13</v>
      </c>
      <c r="O95" s="42"/>
      <c r="P95" s="42"/>
      <c r="Q95" s="42"/>
      <c r="R95" s="5"/>
      <c r="S95" s="5"/>
      <c r="T95" s="2"/>
      <c r="U95" s="2" t="s">
        <v>398</v>
      </c>
      <c r="W95" t="s">
        <v>432</v>
      </c>
      <c r="X95" t="s">
        <v>432</v>
      </c>
      <c r="Y95" t="s">
        <v>432</v>
      </c>
      <c r="AA95" s="3" t="s">
        <v>494</v>
      </c>
      <c r="AC95" s="3" t="s">
        <v>495</v>
      </c>
      <c r="AD95" s="3" t="s">
        <v>150</v>
      </c>
    </row>
    <row r="96" spans="1:30" ht="60" hidden="1" x14ac:dyDescent="0.25">
      <c r="A96" s="84"/>
      <c r="B96" s="76" t="s">
        <v>5</v>
      </c>
      <c r="C96" s="76">
        <v>11</v>
      </c>
      <c r="D96" s="2" t="s">
        <v>125</v>
      </c>
      <c r="E96" s="2" t="s">
        <v>126</v>
      </c>
      <c r="F96" s="2" t="s">
        <v>502</v>
      </c>
      <c r="G96" s="8" t="s">
        <v>558</v>
      </c>
      <c r="H96" s="8" t="s">
        <v>446</v>
      </c>
      <c r="I96" s="8" t="s">
        <v>144</v>
      </c>
      <c r="J96" s="2" t="s">
        <v>15</v>
      </c>
      <c r="K96" s="23"/>
      <c r="L96" s="20"/>
      <c r="M96" s="20"/>
      <c r="N96" s="20"/>
      <c r="O96" s="42"/>
      <c r="P96" s="42"/>
      <c r="Q96" s="42"/>
      <c r="R96" s="5"/>
      <c r="S96" s="5" t="s">
        <v>599</v>
      </c>
      <c r="T96" s="20"/>
      <c r="U96" s="2" t="s">
        <v>398</v>
      </c>
      <c r="W96" t="s">
        <v>432</v>
      </c>
      <c r="X96" t="s">
        <v>432</v>
      </c>
      <c r="Y96" t="s">
        <v>432</v>
      </c>
      <c r="Z96" s="3"/>
      <c r="AA96" s="3" t="s">
        <v>494</v>
      </c>
      <c r="AB96" s="3"/>
      <c r="AC96" s="3" t="s">
        <v>494</v>
      </c>
      <c r="AD96" s="3" t="s">
        <v>150</v>
      </c>
    </row>
    <row r="97" spans="1:30" ht="45" x14ac:dyDescent="0.25">
      <c r="A97" s="84" t="s">
        <v>712</v>
      </c>
      <c r="B97" s="76" t="s">
        <v>5</v>
      </c>
      <c r="C97" s="76">
        <v>12</v>
      </c>
      <c r="D97" s="2" t="s">
        <v>127</v>
      </c>
      <c r="E97" s="2" t="s">
        <v>122</v>
      </c>
      <c r="F97" s="2" t="s">
        <v>205</v>
      </c>
      <c r="G97" s="8" t="s">
        <v>668</v>
      </c>
      <c r="H97" s="8" t="s">
        <v>611</v>
      </c>
      <c r="I97" s="20" t="s">
        <v>144</v>
      </c>
      <c r="J97" s="2" t="s">
        <v>15</v>
      </c>
      <c r="K97" s="2">
        <v>2018</v>
      </c>
      <c r="L97" s="2">
        <f>0/2470</f>
        <v>0</v>
      </c>
      <c r="M97" s="2">
        <v>2019</v>
      </c>
      <c r="N97" s="42">
        <f>1500/2470</f>
        <v>0.60728744939271251</v>
      </c>
      <c r="O97" s="42">
        <f>(($S97-$L97)/21*6)+$L97</f>
        <v>0.2857142857142857</v>
      </c>
      <c r="P97" s="42">
        <f>(($S97-$L97)/21*10)+$L97</f>
        <v>0.47619047619047616</v>
      </c>
      <c r="Q97" s="42">
        <f>(($S97-$L97)/21*14)+$L97</f>
        <v>0.66666666666666663</v>
      </c>
      <c r="R97" s="75">
        <f>(($S97-$L97)/21*18)+$L97</f>
        <v>0.8571428571428571</v>
      </c>
      <c r="S97" s="75">
        <v>1</v>
      </c>
      <c r="T97" s="73" t="s">
        <v>625</v>
      </c>
      <c r="U97" s="2" t="s">
        <v>397</v>
      </c>
      <c r="V97" t="s">
        <v>599</v>
      </c>
      <c r="W97" s="3"/>
      <c r="X97" s="3"/>
      <c r="Y97" s="3"/>
      <c r="Z97" s="3"/>
      <c r="AA97" s="3" t="s">
        <v>494</v>
      </c>
      <c r="AB97" s="3"/>
      <c r="AC97" s="3" t="s">
        <v>495</v>
      </c>
      <c r="AD97" s="2"/>
    </row>
    <row r="98" spans="1:30" ht="60" hidden="1" x14ac:dyDescent="0.25">
      <c r="A98" s="84"/>
      <c r="B98" s="76" t="s">
        <v>5</v>
      </c>
      <c r="C98" s="76">
        <v>12</v>
      </c>
      <c r="D98" s="2" t="s">
        <v>127</v>
      </c>
      <c r="E98" s="2" t="s">
        <v>122</v>
      </c>
      <c r="F98" s="2" t="s">
        <v>205</v>
      </c>
      <c r="G98" s="8" t="s">
        <v>167</v>
      </c>
      <c r="H98" s="20" t="s">
        <v>144</v>
      </c>
      <c r="I98" s="20" t="s">
        <v>144</v>
      </c>
      <c r="J98" s="2" t="s">
        <v>15</v>
      </c>
      <c r="K98" s="2"/>
      <c r="L98" s="2"/>
      <c r="M98" s="2"/>
      <c r="N98" s="2"/>
      <c r="O98" s="42"/>
      <c r="P98" s="42"/>
      <c r="Q98" s="42"/>
      <c r="R98" s="5"/>
      <c r="S98" s="5"/>
      <c r="T98" s="2"/>
      <c r="U98" s="2" t="s">
        <v>398</v>
      </c>
      <c r="W98" s="3"/>
      <c r="X98" s="3"/>
      <c r="Y98" s="3"/>
      <c r="Z98" s="3"/>
      <c r="AA98" s="3" t="s">
        <v>494</v>
      </c>
      <c r="AB98" s="3"/>
      <c r="AC98" s="3" t="s">
        <v>495</v>
      </c>
      <c r="AD98" s="2" t="s">
        <v>149</v>
      </c>
    </row>
    <row r="99" spans="1:30" ht="45" hidden="1" x14ac:dyDescent="0.25">
      <c r="A99" s="84"/>
      <c r="B99" s="76" t="s">
        <v>5</v>
      </c>
      <c r="C99" s="76">
        <v>12</v>
      </c>
      <c r="D99" s="2" t="s">
        <v>127</v>
      </c>
      <c r="E99" s="2" t="s">
        <v>122</v>
      </c>
      <c r="F99" s="2" t="s">
        <v>205</v>
      </c>
      <c r="G99" s="8" t="s">
        <v>380</v>
      </c>
      <c r="H99" s="20" t="s">
        <v>144</v>
      </c>
      <c r="I99" s="20" t="s">
        <v>144</v>
      </c>
      <c r="J99" s="2" t="s">
        <v>15</v>
      </c>
      <c r="K99" s="2"/>
      <c r="L99" s="2"/>
      <c r="M99" s="2"/>
      <c r="N99" s="2"/>
      <c r="O99" s="42"/>
      <c r="P99" s="42"/>
      <c r="Q99" s="42"/>
      <c r="R99" s="5"/>
      <c r="S99" s="5"/>
      <c r="T99" s="2"/>
      <c r="U99" s="2" t="s">
        <v>398</v>
      </c>
      <c r="W99" s="3"/>
      <c r="X99" s="3"/>
      <c r="Y99" s="3"/>
      <c r="Z99" s="3"/>
      <c r="AA99" s="3" t="s">
        <v>494</v>
      </c>
      <c r="AB99" s="3"/>
      <c r="AC99" s="3" t="s">
        <v>494</v>
      </c>
      <c r="AD99" s="2" t="s">
        <v>150</v>
      </c>
    </row>
    <row r="100" spans="1:30" ht="45" x14ac:dyDescent="0.25">
      <c r="A100" s="60" t="s">
        <v>713</v>
      </c>
      <c r="B100" s="60" t="s">
        <v>6</v>
      </c>
      <c r="C100" s="60">
        <v>13</v>
      </c>
      <c r="D100" s="2" t="s">
        <v>128</v>
      </c>
      <c r="E100" s="2" t="s">
        <v>129</v>
      </c>
      <c r="F100" s="2" t="s">
        <v>576</v>
      </c>
      <c r="G100" s="8" t="s">
        <v>669</v>
      </c>
      <c r="H100" s="8" t="s">
        <v>616</v>
      </c>
      <c r="I100" s="8" t="s">
        <v>168</v>
      </c>
      <c r="J100" s="2" t="s">
        <v>15</v>
      </c>
      <c r="K100" s="2">
        <v>2018</v>
      </c>
      <c r="L100" s="31">
        <v>2773</v>
      </c>
      <c r="M100" s="2">
        <v>2019</v>
      </c>
      <c r="N100" s="31">
        <v>1746</v>
      </c>
      <c r="O100" s="31">
        <f t="shared" ref="O100:O101" si="16">(($S100-$L100)/21*6)+$L100</f>
        <v>2020.3285714285714</v>
      </c>
      <c r="P100" s="31">
        <f t="shared" ref="P100:P101" si="17">(($S100-$L100)/21*10)+$L100</f>
        <v>1518.547619047619</v>
      </c>
      <c r="Q100" s="31">
        <f t="shared" ref="Q100:Q101" si="18">(($S100-$L100)/21*14)+$L100</f>
        <v>1016.7666666666667</v>
      </c>
      <c r="R100" s="79">
        <f t="shared" ref="R100:R101" si="19">(($S100-$L100)/21*18)+$L100</f>
        <v>514.98571428571449</v>
      </c>
      <c r="S100" s="79">
        <f>L100*0.05</f>
        <v>138.65</v>
      </c>
      <c r="T100" s="66" t="s">
        <v>604</v>
      </c>
      <c r="U100" s="2" t="s">
        <v>397</v>
      </c>
      <c r="V100" t="s">
        <v>649</v>
      </c>
      <c r="W100" t="s">
        <v>432</v>
      </c>
      <c r="X100" t="s">
        <v>432</v>
      </c>
      <c r="Y100" t="s">
        <v>432</v>
      </c>
      <c r="AA100" s="3" t="s">
        <v>494</v>
      </c>
      <c r="AC100" s="3" t="s">
        <v>494</v>
      </c>
      <c r="AD100" s="2" t="s">
        <v>149</v>
      </c>
    </row>
    <row r="101" spans="1:30" ht="45" x14ac:dyDescent="0.25">
      <c r="A101" s="60" t="s">
        <v>720</v>
      </c>
      <c r="B101" s="60" t="s">
        <v>6</v>
      </c>
      <c r="C101" s="60">
        <v>13</v>
      </c>
      <c r="D101" s="2" t="s">
        <v>128</v>
      </c>
      <c r="E101" s="2" t="s">
        <v>129</v>
      </c>
      <c r="F101" s="2" t="s">
        <v>576</v>
      </c>
      <c r="G101" s="8" t="s">
        <v>670</v>
      </c>
      <c r="H101" s="8" t="s">
        <v>617</v>
      </c>
      <c r="I101" s="8" t="s">
        <v>168</v>
      </c>
      <c r="J101" s="2" t="s">
        <v>15</v>
      </c>
      <c r="K101" s="2">
        <v>2016</v>
      </c>
      <c r="L101" s="31">
        <v>1300000</v>
      </c>
      <c r="M101" s="2"/>
      <c r="N101" s="2"/>
      <c r="O101" s="31">
        <f t="shared" si="16"/>
        <v>928571.42857142852</v>
      </c>
      <c r="P101" s="31">
        <f t="shared" si="17"/>
        <v>680952.38095238095</v>
      </c>
      <c r="Q101" s="31">
        <f t="shared" si="18"/>
        <v>433333.33333333326</v>
      </c>
      <c r="R101" s="31">
        <f t="shared" si="19"/>
        <v>185714.28571428568</v>
      </c>
      <c r="S101" s="5">
        <v>0</v>
      </c>
      <c r="T101" s="66" t="s">
        <v>604</v>
      </c>
      <c r="U101" s="2" t="s">
        <v>397</v>
      </c>
      <c r="V101" t="s">
        <v>649</v>
      </c>
      <c r="W101" t="s">
        <v>432</v>
      </c>
      <c r="X101" t="s">
        <v>432</v>
      </c>
      <c r="Y101" t="s">
        <v>432</v>
      </c>
      <c r="AA101" s="3" t="s">
        <v>494</v>
      </c>
      <c r="AC101" s="3" t="s">
        <v>494</v>
      </c>
      <c r="AD101" s="2"/>
    </row>
    <row r="102" spans="1:30" ht="45" hidden="1" x14ac:dyDescent="0.25">
      <c r="A102" s="60"/>
      <c r="B102" s="60" t="s">
        <v>6</v>
      </c>
      <c r="C102" s="60">
        <v>13</v>
      </c>
      <c r="D102" s="2" t="s">
        <v>128</v>
      </c>
      <c r="E102" s="2" t="s">
        <v>129</v>
      </c>
      <c r="F102" s="2" t="s">
        <v>576</v>
      </c>
      <c r="G102" s="8" t="s">
        <v>559</v>
      </c>
      <c r="H102" s="8" t="s">
        <v>407</v>
      </c>
      <c r="I102" s="8" t="s">
        <v>168</v>
      </c>
      <c r="J102" s="2" t="s">
        <v>15</v>
      </c>
      <c r="K102" s="2"/>
      <c r="L102" s="2"/>
      <c r="M102" s="2"/>
      <c r="N102" s="2"/>
      <c r="O102" s="42"/>
      <c r="P102" s="42"/>
      <c r="Q102" s="42"/>
      <c r="R102" s="5"/>
      <c r="S102" s="5"/>
      <c r="T102" s="2"/>
      <c r="U102" s="2" t="s">
        <v>398</v>
      </c>
      <c r="W102" s="3"/>
      <c r="X102" s="3"/>
      <c r="Y102" s="3"/>
      <c r="Z102" s="3"/>
      <c r="AA102" s="3" t="s">
        <v>494</v>
      </c>
      <c r="AB102" s="3"/>
      <c r="AC102" s="3" t="s">
        <v>494</v>
      </c>
      <c r="AD102" s="2" t="s">
        <v>150</v>
      </c>
    </row>
    <row r="103" spans="1:30" ht="60" hidden="1" x14ac:dyDescent="0.25">
      <c r="A103" s="60"/>
      <c r="B103" s="60" t="s">
        <v>6</v>
      </c>
      <c r="C103" s="60">
        <v>13</v>
      </c>
      <c r="D103" s="2" t="s">
        <v>128</v>
      </c>
      <c r="E103" s="2" t="s">
        <v>129</v>
      </c>
      <c r="F103" s="2" t="s">
        <v>576</v>
      </c>
      <c r="G103" s="8" t="s">
        <v>448</v>
      </c>
      <c r="H103" s="8" t="s">
        <v>408</v>
      </c>
      <c r="I103" s="8" t="s">
        <v>143</v>
      </c>
      <c r="J103" s="5" t="s">
        <v>151</v>
      </c>
      <c r="K103" s="2"/>
      <c r="L103" s="2"/>
      <c r="M103" s="2"/>
      <c r="N103" s="2"/>
      <c r="O103" s="42"/>
      <c r="P103" s="42"/>
      <c r="Q103" s="42"/>
      <c r="R103" s="5"/>
      <c r="S103" s="5"/>
      <c r="T103" s="2"/>
      <c r="U103" s="2" t="s">
        <v>398</v>
      </c>
      <c r="W103" s="3"/>
      <c r="X103" s="3"/>
      <c r="Y103" s="3"/>
      <c r="Z103" s="3"/>
      <c r="AA103" s="3" t="s">
        <v>494</v>
      </c>
      <c r="AB103" s="3"/>
      <c r="AC103" s="3" t="s">
        <v>494</v>
      </c>
      <c r="AD103" s="2"/>
    </row>
    <row r="104" spans="1:30" ht="90" hidden="1" x14ac:dyDescent="0.25">
      <c r="A104" s="60"/>
      <c r="B104" s="60" t="s">
        <v>6</v>
      </c>
      <c r="C104" s="60">
        <v>13</v>
      </c>
      <c r="D104" s="2" t="s">
        <v>128</v>
      </c>
      <c r="E104" s="2" t="s">
        <v>129</v>
      </c>
      <c r="F104" s="2" t="s">
        <v>576</v>
      </c>
      <c r="G104" s="8" t="s">
        <v>560</v>
      </c>
      <c r="H104" s="8" t="s">
        <v>645</v>
      </c>
      <c r="I104" s="8" t="s">
        <v>144</v>
      </c>
      <c r="J104" s="2" t="s">
        <v>169</v>
      </c>
      <c r="K104" s="2"/>
      <c r="L104" s="2"/>
      <c r="M104" s="2"/>
      <c r="N104" s="2"/>
      <c r="O104" s="42"/>
      <c r="P104" s="42"/>
      <c r="Q104" s="42"/>
      <c r="R104" s="5"/>
      <c r="S104" s="5"/>
      <c r="T104" s="2"/>
      <c r="U104" s="2" t="s">
        <v>398</v>
      </c>
      <c r="W104" s="3"/>
      <c r="X104" s="3"/>
      <c r="Y104" s="3"/>
      <c r="Z104" s="3"/>
      <c r="AA104" s="3" t="s">
        <v>494</v>
      </c>
      <c r="AB104" s="3"/>
      <c r="AC104" s="3" t="s">
        <v>494</v>
      </c>
      <c r="AD104" s="2" t="s">
        <v>170</v>
      </c>
    </row>
    <row r="105" spans="1:30" ht="105" hidden="1" x14ac:dyDescent="0.25">
      <c r="A105" s="60"/>
      <c r="B105" s="60" t="s">
        <v>6</v>
      </c>
      <c r="C105" s="60">
        <v>14</v>
      </c>
      <c r="D105" s="2" t="s">
        <v>130</v>
      </c>
      <c r="E105" s="2" t="s">
        <v>131</v>
      </c>
      <c r="F105" s="2" t="s">
        <v>318</v>
      </c>
      <c r="G105" s="8" t="s">
        <v>447</v>
      </c>
      <c r="H105" s="8" t="s">
        <v>406</v>
      </c>
      <c r="I105" s="8" t="s">
        <v>113</v>
      </c>
      <c r="J105" s="2" t="s">
        <v>15</v>
      </c>
      <c r="K105" s="2">
        <v>2018</v>
      </c>
      <c r="L105" s="32">
        <v>1</v>
      </c>
      <c r="M105" s="2"/>
      <c r="N105" s="28"/>
      <c r="O105" s="42"/>
      <c r="P105" s="42"/>
      <c r="Q105" s="42"/>
      <c r="R105" s="5"/>
      <c r="S105" s="5"/>
      <c r="T105" s="2"/>
      <c r="U105" s="2" t="s">
        <v>398</v>
      </c>
      <c r="W105" t="s">
        <v>432</v>
      </c>
      <c r="X105" t="s">
        <v>432</v>
      </c>
      <c r="Y105" t="s">
        <v>432</v>
      </c>
      <c r="AA105" s="3" t="s">
        <v>494</v>
      </c>
      <c r="AC105" s="3" t="s">
        <v>494</v>
      </c>
      <c r="AD105" s="2" t="s">
        <v>149</v>
      </c>
    </row>
    <row r="106" spans="1:30" ht="30" x14ac:dyDescent="0.25">
      <c r="A106" s="60" t="s">
        <v>714</v>
      </c>
      <c r="B106" s="60" t="s">
        <v>6</v>
      </c>
      <c r="C106" s="60">
        <v>14</v>
      </c>
      <c r="D106" s="2" t="s">
        <v>130</v>
      </c>
      <c r="E106" s="2" t="s">
        <v>131</v>
      </c>
      <c r="F106" s="57" t="s">
        <v>570</v>
      </c>
      <c r="G106" s="8" t="s">
        <v>561</v>
      </c>
      <c r="H106" s="8" t="s">
        <v>409</v>
      </c>
      <c r="I106" s="8" t="s">
        <v>113</v>
      </c>
      <c r="J106" s="2" t="s">
        <v>15</v>
      </c>
      <c r="K106" s="2" t="s">
        <v>354</v>
      </c>
      <c r="L106" s="31">
        <v>49917</v>
      </c>
      <c r="M106" s="2" t="s">
        <v>606</v>
      </c>
      <c r="N106" s="31">
        <v>51573</v>
      </c>
      <c r="O106" s="31">
        <f>(($S106-$L106)/21*6)+$L106</f>
        <v>51343.200000000004</v>
      </c>
      <c r="P106" s="31">
        <f>(($S106-$L106)/21*10)+$L106</f>
        <v>52294</v>
      </c>
      <c r="Q106" s="31">
        <f>(($S106-$L106)/21*14)+$L106</f>
        <v>53244.800000000003</v>
      </c>
      <c r="R106" s="31">
        <f>(($S106-$L106)/21*18)+$L106</f>
        <v>54195.600000000006</v>
      </c>
      <c r="S106" s="81">
        <f>L106*1.1</f>
        <v>54908.700000000004</v>
      </c>
      <c r="T106" s="70" t="s">
        <v>609</v>
      </c>
      <c r="U106" s="2" t="s">
        <v>397</v>
      </c>
      <c r="V106" t="s">
        <v>599</v>
      </c>
      <c r="W106" s="3"/>
      <c r="X106" s="3" t="s">
        <v>432</v>
      </c>
      <c r="Y106" s="3" t="s">
        <v>432</v>
      </c>
      <c r="Z106" s="3"/>
      <c r="AA106" s="3" t="s">
        <v>494</v>
      </c>
      <c r="AB106" s="3"/>
      <c r="AC106" s="3" t="s">
        <v>494</v>
      </c>
      <c r="AD106" s="2" t="s">
        <v>150</v>
      </c>
    </row>
    <row r="107" spans="1:30" ht="30" x14ac:dyDescent="0.25">
      <c r="A107" s="60" t="s">
        <v>721</v>
      </c>
      <c r="B107" s="60" t="s">
        <v>6</v>
      </c>
      <c r="C107" s="60">
        <v>14</v>
      </c>
      <c r="D107" s="2" t="s">
        <v>130</v>
      </c>
      <c r="E107" s="2" t="s">
        <v>131</v>
      </c>
      <c r="F107" s="2" t="s">
        <v>318</v>
      </c>
      <c r="G107" s="8" t="s">
        <v>410</v>
      </c>
      <c r="H107" s="8" t="s">
        <v>646</v>
      </c>
      <c r="I107" s="8" t="s">
        <v>168</v>
      </c>
      <c r="J107" s="3" t="s">
        <v>151</v>
      </c>
      <c r="K107" s="2" t="s">
        <v>607</v>
      </c>
      <c r="L107" s="2">
        <v>127</v>
      </c>
      <c r="M107" s="2"/>
      <c r="N107" s="2"/>
      <c r="O107" s="2">
        <f>(($S107-$L107)/21*6)+$L107</f>
        <v>107</v>
      </c>
      <c r="P107" s="68">
        <f>(($S107-$L107)/21*10)+$L107</f>
        <v>93.666666666666657</v>
      </c>
      <c r="Q107" s="68">
        <f>(($S107-$L107)/21*14)+$L107</f>
        <v>80.333333333333329</v>
      </c>
      <c r="R107" s="5">
        <f>(($S107-$L107)/21*18)+$L107</f>
        <v>67</v>
      </c>
      <c r="S107" s="5">
        <v>57</v>
      </c>
      <c r="T107" s="66" t="s">
        <v>608</v>
      </c>
      <c r="U107" s="2" t="s">
        <v>397</v>
      </c>
      <c r="V107" t="s">
        <v>649</v>
      </c>
      <c r="W107" s="3"/>
      <c r="X107" s="3"/>
      <c r="Y107" s="3"/>
      <c r="Z107" s="3"/>
      <c r="AA107" s="3" t="s">
        <v>494</v>
      </c>
      <c r="AB107" s="3"/>
      <c r="AC107" s="3" t="s">
        <v>494</v>
      </c>
      <c r="AD107" s="2"/>
    </row>
    <row r="108" spans="1:30" ht="30" hidden="1" x14ac:dyDescent="0.25">
      <c r="A108" s="60"/>
      <c r="B108" s="60" t="s">
        <v>6</v>
      </c>
      <c r="C108" s="60">
        <v>14</v>
      </c>
      <c r="D108" s="2" t="s">
        <v>130</v>
      </c>
      <c r="E108" s="2" t="s">
        <v>131</v>
      </c>
      <c r="F108" s="2" t="s">
        <v>318</v>
      </c>
      <c r="G108" s="8" t="s">
        <v>538</v>
      </c>
      <c r="H108" s="8" t="s">
        <v>411</v>
      </c>
      <c r="I108" s="8" t="s">
        <v>168</v>
      </c>
      <c r="J108" s="3" t="s">
        <v>151</v>
      </c>
      <c r="K108" s="20"/>
      <c r="L108" s="20"/>
      <c r="M108" s="20"/>
      <c r="N108" s="20"/>
      <c r="O108" s="42"/>
      <c r="P108" s="42"/>
      <c r="Q108" s="42"/>
      <c r="R108" s="5"/>
      <c r="S108" s="5"/>
      <c r="T108" s="20"/>
      <c r="U108" s="2" t="s">
        <v>398</v>
      </c>
      <c r="W108" s="3"/>
      <c r="X108" s="3"/>
      <c r="Y108" s="3" t="s">
        <v>432</v>
      </c>
      <c r="Z108" s="3"/>
      <c r="AA108" s="3" t="s">
        <v>494</v>
      </c>
      <c r="AB108" s="3"/>
      <c r="AC108" s="3" t="s">
        <v>494</v>
      </c>
      <c r="AD108" s="2"/>
    </row>
    <row r="109" spans="1:30" ht="45" hidden="1" x14ac:dyDescent="0.25">
      <c r="A109" s="60"/>
      <c r="B109" s="60" t="s">
        <v>6</v>
      </c>
      <c r="C109" s="60">
        <v>14</v>
      </c>
      <c r="D109" s="2" t="s">
        <v>130</v>
      </c>
      <c r="E109" s="2" t="s">
        <v>131</v>
      </c>
      <c r="F109" s="2" t="s">
        <v>318</v>
      </c>
      <c r="G109" s="8" t="s">
        <v>612</v>
      </c>
      <c r="H109" s="8" t="s">
        <v>613</v>
      </c>
      <c r="I109" s="8" t="s">
        <v>168</v>
      </c>
      <c r="J109" s="3" t="s">
        <v>151</v>
      </c>
      <c r="K109" s="5" t="s">
        <v>607</v>
      </c>
      <c r="L109" s="5">
        <v>150</v>
      </c>
      <c r="M109" s="5"/>
      <c r="N109" s="5"/>
      <c r="O109" s="42"/>
      <c r="P109" s="42"/>
      <c r="Q109" s="42"/>
      <c r="R109" s="5"/>
      <c r="S109" s="5">
        <v>150</v>
      </c>
      <c r="T109" s="66" t="s">
        <v>608</v>
      </c>
      <c r="U109" s="2" t="s">
        <v>398</v>
      </c>
      <c r="Y109" t="s">
        <v>432</v>
      </c>
      <c r="AA109" s="3" t="s">
        <v>494</v>
      </c>
      <c r="AC109" s="3" t="s">
        <v>494</v>
      </c>
      <c r="AD109" s="2"/>
    </row>
    <row r="110" spans="1:30" ht="30" x14ac:dyDescent="0.25">
      <c r="A110" s="60" t="s">
        <v>722</v>
      </c>
      <c r="B110" s="60" t="s">
        <v>6</v>
      </c>
      <c r="C110" s="60">
        <v>14</v>
      </c>
      <c r="D110" s="2" t="s">
        <v>130</v>
      </c>
      <c r="E110" s="2" t="s">
        <v>131</v>
      </c>
      <c r="F110" s="2" t="s">
        <v>318</v>
      </c>
      <c r="G110" s="8" t="s">
        <v>671</v>
      </c>
      <c r="H110" s="8" t="s">
        <v>745</v>
      </c>
      <c r="I110" s="8" t="s">
        <v>168</v>
      </c>
      <c r="J110" s="3" t="s">
        <v>151</v>
      </c>
      <c r="K110" s="5" t="s">
        <v>607</v>
      </c>
      <c r="L110" s="31">
        <v>12000</v>
      </c>
      <c r="M110" s="5"/>
      <c r="N110" s="5"/>
      <c r="O110" s="31">
        <f>(($S110-$L110)/21*6)+$L110</f>
        <v>10485.714285714286</v>
      </c>
      <c r="P110" s="31">
        <f>(($S110-$L110)/21*10)+$L110</f>
        <v>9476.1904761904771</v>
      </c>
      <c r="Q110" s="31">
        <f>(($S110-$L110)/21*14)+$L110</f>
        <v>8466.6666666666661</v>
      </c>
      <c r="R110" s="31">
        <f>(($S110-$L110)/21*18)+$L110</f>
        <v>7457.1428571428569</v>
      </c>
      <c r="S110" s="81">
        <v>6700</v>
      </c>
      <c r="T110" s="66" t="s">
        <v>608</v>
      </c>
      <c r="U110" s="2" t="s">
        <v>397</v>
      </c>
      <c r="V110" t="s">
        <v>649</v>
      </c>
      <c r="Y110" t="s">
        <v>432</v>
      </c>
      <c r="AA110" s="3" t="s">
        <v>494</v>
      </c>
      <c r="AC110" s="3" t="s">
        <v>494</v>
      </c>
      <c r="AD110" s="2"/>
    </row>
    <row r="111" spans="1:30" ht="45" hidden="1" x14ac:dyDescent="0.25">
      <c r="A111" s="60"/>
      <c r="B111" s="60" t="s">
        <v>6</v>
      </c>
      <c r="C111" s="60">
        <v>14</v>
      </c>
      <c r="D111" s="2" t="s">
        <v>130</v>
      </c>
      <c r="E111" s="2" t="s">
        <v>131</v>
      </c>
      <c r="F111" s="2" t="s">
        <v>318</v>
      </c>
      <c r="G111" s="8" t="s">
        <v>562</v>
      </c>
      <c r="H111" s="8" t="s">
        <v>412</v>
      </c>
      <c r="I111" s="8" t="s">
        <v>113</v>
      </c>
      <c r="J111" s="2" t="s">
        <v>15</v>
      </c>
      <c r="K111" s="2"/>
      <c r="L111" s="2"/>
      <c r="M111" s="2"/>
      <c r="N111" s="2"/>
      <c r="O111" s="42"/>
      <c r="P111" s="42"/>
      <c r="Q111" s="42"/>
      <c r="R111" s="5"/>
      <c r="S111" s="5"/>
      <c r="T111" s="2"/>
      <c r="U111" s="2" t="s">
        <v>398</v>
      </c>
      <c r="W111" s="3"/>
      <c r="X111" s="3" t="s">
        <v>432</v>
      </c>
      <c r="Y111" s="3" t="s">
        <v>432</v>
      </c>
      <c r="Z111" s="3"/>
      <c r="AA111" s="3" t="s">
        <v>494</v>
      </c>
      <c r="AB111" s="3"/>
      <c r="AC111" s="3" t="s">
        <v>494</v>
      </c>
      <c r="AD111" s="2" t="s">
        <v>149</v>
      </c>
    </row>
    <row r="112" spans="1:30" ht="45" x14ac:dyDescent="0.25">
      <c r="A112" s="60" t="s">
        <v>723</v>
      </c>
      <c r="B112" s="60" t="s">
        <v>6</v>
      </c>
      <c r="C112" s="60">
        <v>14</v>
      </c>
      <c r="D112" s="2" t="s">
        <v>130</v>
      </c>
      <c r="E112" s="2" t="s">
        <v>131</v>
      </c>
      <c r="F112" s="57" t="s">
        <v>570</v>
      </c>
      <c r="G112" s="8" t="s">
        <v>563</v>
      </c>
      <c r="H112" s="8" t="s">
        <v>382</v>
      </c>
      <c r="I112" s="8" t="s">
        <v>145</v>
      </c>
      <c r="J112" s="2" t="s">
        <v>624</v>
      </c>
      <c r="K112" s="2">
        <v>2018</v>
      </c>
      <c r="L112" s="42">
        <v>0.17</v>
      </c>
      <c r="M112" s="2"/>
      <c r="N112" s="2"/>
      <c r="O112" s="42">
        <f>(($S112-$L112)/21*6)+$L112</f>
        <v>0.20714285714285713</v>
      </c>
      <c r="P112" s="42">
        <f>(($S112-$L112)/21*10)+$L112</f>
        <v>0.23190476190476189</v>
      </c>
      <c r="Q112" s="42">
        <f>(($S112-$L112)/21*14)+$L112</f>
        <v>0.25666666666666665</v>
      </c>
      <c r="R112" s="77">
        <f>(($S112-$L112)/21*18)+$L112</f>
        <v>0.28142857142857142</v>
      </c>
      <c r="S112" s="77">
        <v>0.3</v>
      </c>
      <c r="T112" s="66" t="s">
        <v>604</v>
      </c>
      <c r="U112" s="2" t="s">
        <v>397</v>
      </c>
      <c r="V112" t="s">
        <v>599</v>
      </c>
      <c r="W112" s="3"/>
      <c r="X112" s="3" t="s">
        <v>432</v>
      </c>
      <c r="Y112" s="3" t="s">
        <v>432</v>
      </c>
      <c r="Z112" s="3"/>
      <c r="AA112" s="3" t="s">
        <v>494</v>
      </c>
      <c r="AB112" s="3"/>
      <c r="AC112" s="3" t="s">
        <v>494</v>
      </c>
      <c r="AD112" s="2"/>
    </row>
    <row r="113" spans="1:30" ht="30" hidden="1" x14ac:dyDescent="0.25">
      <c r="A113" s="60"/>
      <c r="B113" s="60" t="s">
        <v>6</v>
      </c>
      <c r="C113" s="60">
        <v>14</v>
      </c>
      <c r="D113" s="2" t="s">
        <v>130</v>
      </c>
      <c r="E113" s="2" t="s">
        <v>131</v>
      </c>
      <c r="F113" s="57" t="s">
        <v>570</v>
      </c>
      <c r="G113" s="8" t="s">
        <v>539</v>
      </c>
      <c r="H113" s="8" t="s">
        <v>449</v>
      </c>
      <c r="I113" s="8" t="s">
        <v>145</v>
      </c>
      <c r="J113" s="2" t="s">
        <v>151</v>
      </c>
      <c r="K113" s="2"/>
      <c r="L113" s="2"/>
      <c r="M113" s="2"/>
      <c r="N113" s="2"/>
      <c r="O113" s="42"/>
      <c r="P113" s="42"/>
      <c r="Q113" s="42"/>
      <c r="R113" s="5"/>
      <c r="S113" s="5"/>
      <c r="T113" s="2"/>
      <c r="U113" s="2" t="s">
        <v>398</v>
      </c>
      <c r="V113" s="2"/>
      <c r="W113" s="3"/>
      <c r="X113" s="3" t="s">
        <v>432</v>
      </c>
      <c r="Y113" s="3" t="s">
        <v>432</v>
      </c>
      <c r="Z113" s="3"/>
      <c r="AA113" s="3" t="s">
        <v>494</v>
      </c>
      <c r="AB113" s="3"/>
      <c r="AC113" s="3" t="s">
        <v>494</v>
      </c>
      <c r="AD113" s="2"/>
    </row>
    <row r="114" spans="1:30" ht="30" x14ac:dyDescent="0.25">
      <c r="A114" s="60" t="s">
        <v>724</v>
      </c>
      <c r="B114" s="60" t="s">
        <v>6</v>
      </c>
      <c r="C114" s="60">
        <v>14</v>
      </c>
      <c r="D114" s="2" t="s">
        <v>130</v>
      </c>
      <c r="E114" s="2" t="s">
        <v>131</v>
      </c>
      <c r="F114" s="2" t="s">
        <v>318</v>
      </c>
      <c r="G114" s="8" t="s">
        <v>413</v>
      </c>
      <c r="H114" s="8" t="s">
        <v>381</v>
      </c>
      <c r="I114" s="8"/>
      <c r="J114" s="3" t="s">
        <v>151</v>
      </c>
      <c r="K114" s="5" t="s">
        <v>607</v>
      </c>
      <c r="L114" s="5">
        <v>39</v>
      </c>
      <c r="M114" s="5"/>
      <c r="N114" s="5"/>
      <c r="O114" s="79">
        <f t="shared" ref="O114:O115" si="20">(($S114-$L114)/21*6)+$L114</f>
        <v>37.857142857142854</v>
      </c>
      <c r="P114" s="79">
        <f t="shared" ref="P114:P115" si="21">(($S114-$L114)/21*10)+$L114</f>
        <v>37.095238095238095</v>
      </c>
      <c r="Q114" s="79">
        <f t="shared" ref="Q114:Q115" si="22">(($S114-$L114)/21*14)+$L114</f>
        <v>36.333333333333336</v>
      </c>
      <c r="R114" s="79">
        <f t="shared" ref="R114:R115" si="23">(($S114-$L114)/21*18)+$L114</f>
        <v>35.571428571428569</v>
      </c>
      <c r="S114" s="5">
        <v>35</v>
      </c>
      <c r="T114" s="66" t="s">
        <v>608</v>
      </c>
      <c r="U114" s="2" t="s">
        <v>397</v>
      </c>
      <c r="V114" t="s">
        <v>649</v>
      </c>
      <c r="W114" s="3"/>
      <c r="X114" s="3" t="s">
        <v>432</v>
      </c>
      <c r="Y114" s="3" t="s">
        <v>432</v>
      </c>
      <c r="Z114" s="3"/>
      <c r="AA114" s="3" t="s">
        <v>494</v>
      </c>
      <c r="AB114" s="3"/>
      <c r="AC114" s="3" t="s">
        <v>494</v>
      </c>
      <c r="AD114" s="2"/>
    </row>
    <row r="115" spans="1:30" ht="75" x14ac:dyDescent="0.25">
      <c r="A115" s="60" t="s">
        <v>715</v>
      </c>
      <c r="B115" s="60" t="s">
        <v>6</v>
      </c>
      <c r="C115" s="60">
        <v>15</v>
      </c>
      <c r="D115" s="2" t="s">
        <v>132</v>
      </c>
      <c r="E115" s="2" t="s">
        <v>133</v>
      </c>
      <c r="F115" s="2" t="s">
        <v>192</v>
      </c>
      <c r="G115" s="8" t="s">
        <v>564</v>
      </c>
      <c r="H115" s="8" t="s">
        <v>383</v>
      </c>
      <c r="I115" s="8" t="s">
        <v>113</v>
      </c>
      <c r="J115" s="2" t="s">
        <v>171</v>
      </c>
      <c r="K115" s="2">
        <v>2018</v>
      </c>
      <c r="L115" s="29">
        <v>0.41670000000000001</v>
      </c>
      <c r="M115" s="2">
        <v>2019</v>
      </c>
      <c r="N115" s="29">
        <v>0.41110000000000002</v>
      </c>
      <c r="O115" s="42">
        <f t="shared" si="20"/>
        <v>0.55478571428571433</v>
      </c>
      <c r="P115" s="42">
        <f t="shared" si="21"/>
        <v>0.64684285714285716</v>
      </c>
      <c r="Q115" s="42">
        <f t="shared" si="22"/>
        <v>0.73890000000000011</v>
      </c>
      <c r="R115" s="77">
        <f t="shared" si="23"/>
        <v>0.83095714285714295</v>
      </c>
      <c r="S115" s="77">
        <v>0.9</v>
      </c>
      <c r="T115" s="66" t="s">
        <v>604</v>
      </c>
      <c r="U115" s="2" t="s">
        <v>397</v>
      </c>
      <c r="V115" t="s">
        <v>599</v>
      </c>
      <c r="W115" t="s">
        <v>432</v>
      </c>
      <c r="X115" t="s">
        <v>432</v>
      </c>
      <c r="Y115" t="s">
        <v>432</v>
      </c>
      <c r="AA115" s="3" t="s">
        <v>494</v>
      </c>
      <c r="AC115" s="3" t="s">
        <v>494</v>
      </c>
      <c r="AD115" s="2" t="s">
        <v>164</v>
      </c>
    </row>
    <row r="116" spans="1:30" ht="150" hidden="1" x14ac:dyDescent="0.25">
      <c r="A116" s="60"/>
      <c r="B116" s="60" t="s">
        <v>6</v>
      </c>
      <c r="C116" s="60">
        <v>15</v>
      </c>
      <c r="D116" s="2" t="s">
        <v>132</v>
      </c>
      <c r="E116" s="2" t="s">
        <v>133</v>
      </c>
      <c r="F116" s="2" t="s">
        <v>192</v>
      </c>
      <c r="G116" s="8" t="s">
        <v>450</v>
      </c>
      <c r="H116" s="8"/>
      <c r="I116" s="8" t="s">
        <v>3</v>
      </c>
      <c r="J116" s="20"/>
      <c r="K116" s="2"/>
      <c r="L116" s="2"/>
      <c r="M116" s="2"/>
      <c r="N116" s="2"/>
      <c r="O116" s="42"/>
      <c r="P116" s="42"/>
      <c r="Q116" s="42"/>
      <c r="R116" s="5"/>
      <c r="S116" s="5"/>
      <c r="T116" s="2"/>
      <c r="U116" s="2" t="s">
        <v>351</v>
      </c>
      <c r="W116" s="3" t="s">
        <v>455</v>
      </c>
      <c r="X116" s="3" t="s">
        <v>455</v>
      </c>
      <c r="Y116" s="3" t="s">
        <v>455</v>
      </c>
      <c r="Z116" s="3"/>
      <c r="AA116" s="3" t="s">
        <v>494</v>
      </c>
      <c r="AB116" s="3"/>
      <c r="AC116" s="3" t="s">
        <v>495</v>
      </c>
      <c r="AD116" s="2"/>
    </row>
    <row r="117" spans="1:30" ht="75" hidden="1" x14ac:dyDescent="0.25">
      <c r="A117" s="60"/>
      <c r="B117" s="60" t="s">
        <v>6</v>
      </c>
      <c r="C117" s="60">
        <v>16</v>
      </c>
      <c r="D117" s="2" t="s">
        <v>134</v>
      </c>
      <c r="E117" s="2" t="s">
        <v>135</v>
      </c>
      <c r="F117" s="2" t="s">
        <v>577</v>
      </c>
      <c r="G117" s="8" t="s">
        <v>565</v>
      </c>
      <c r="H117" s="8" t="s">
        <v>435</v>
      </c>
      <c r="I117" s="8" t="s">
        <v>113</v>
      </c>
      <c r="J117" s="1" t="s">
        <v>434</v>
      </c>
      <c r="K117" s="1">
        <v>2018</v>
      </c>
      <c r="L117" s="31">
        <v>1501</v>
      </c>
      <c r="M117" s="1">
        <v>2019</v>
      </c>
      <c r="N117" s="31">
        <v>1611</v>
      </c>
      <c r="O117" s="42"/>
      <c r="P117" s="42"/>
      <c r="Q117" s="42"/>
      <c r="R117" s="81"/>
      <c r="S117" s="81">
        <f>L117*1.1</f>
        <v>1651.1000000000001</v>
      </c>
      <c r="T117" s="71" t="s">
        <v>609</v>
      </c>
      <c r="U117" s="2" t="s">
        <v>455</v>
      </c>
      <c r="W117" t="s">
        <v>432</v>
      </c>
      <c r="X117" t="s">
        <v>432</v>
      </c>
      <c r="Y117" t="s">
        <v>432</v>
      </c>
      <c r="AA117" s="3" t="s">
        <v>494</v>
      </c>
      <c r="AC117" s="3" t="s">
        <v>494</v>
      </c>
      <c r="AD117" s="1" t="s">
        <v>149</v>
      </c>
    </row>
    <row r="118" spans="1:30" ht="75" hidden="1" x14ac:dyDescent="0.25">
      <c r="A118" s="60"/>
      <c r="B118" s="60" t="s">
        <v>6</v>
      </c>
      <c r="C118" s="60">
        <v>16</v>
      </c>
      <c r="D118" s="2" t="s">
        <v>134</v>
      </c>
      <c r="E118" s="2" t="s">
        <v>135</v>
      </c>
      <c r="F118" s="2" t="s">
        <v>577</v>
      </c>
      <c r="G118" s="20" t="s">
        <v>614</v>
      </c>
      <c r="H118" s="20" t="s">
        <v>615</v>
      </c>
      <c r="I118" s="20"/>
      <c r="J118" s="21"/>
      <c r="K118" s="21"/>
      <c r="L118" s="72"/>
      <c r="M118" s="21"/>
      <c r="N118" s="72"/>
      <c r="O118" s="42"/>
      <c r="P118" s="42"/>
      <c r="Q118" s="42"/>
      <c r="R118" s="81"/>
      <c r="S118" s="81"/>
      <c r="T118" s="69"/>
      <c r="U118" s="2" t="s">
        <v>455</v>
      </c>
      <c r="AA118" s="3"/>
      <c r="AC118" s="3"/>
      <c r="AD118" s="1"/>
    </row>
    <row r="119" spans="1:30" ht="60" x14ac:dyDescent="0.25">
      <c r="A119" s="60" t="s">
        <v>716</v>
      </c>
      <c r="B119" s="60" t="s">
        <v>6</v>
      </c>
      <c r="C119" s="60">
        <v>16</v>
      </c>
      <c r="D119" s="2" t="s">
        <v>134</v>
      </c>
      <c r="E119" s="2" t="s">
        <v>135</v>
      </c>
      <c r="F119" s="2" t="s">
        <v>577</v>
      </c>
      <c r="G119" s="8" t="s">
        <v>672</v>
      </c>
      <c r="H119" s="8" t="s">
        <v>635</v>
      </c>
      <c r="I119" s="8" t="s">
        <v>636</v>
      </c>
      <c r="J119" s="2" t="s">
        <v>399</v>
      </c>
      <c r="K119" s="1"/>
      <c r="L119" s="1"/>
      <c r="M119" s="1"/>
      <c r="N119" s="1"/>
      <c r="O119" s="42">
        <f t="shared" ref="O119:O120" si="24">(($S119-$L119)/21*6)+$L119</f>
        <v>0.21428571428571427</v>
      </c>
      <c r="P119" s="42">
        <f t="shared" ref="P119:P120" si="25">(($S119-$L119)/21*10)+$L119</f>
        <v>0.3571428571428571</v>
      </c>
      <c r="Q119" s="42">
        <f t="shared" ref="Q119:Q120" si="26">(($S119-$L119)/21*14)+$L119</f>
        <v>0.5</v>
      </c>
      <c r="R119" s="75">
        <f t="shared" ref="R119:R120" si="27">(($S119-$L119)/21*18)+$L119</f>
        <v>0.64285714285714279</v>
      </c>
      <c r="S119" s="75">
        <v>0.75</v>
      </c>
      <c r="T119" s="73" t="s">
        <v>634</v>
      </c>
      <c r="U119" s="2" t="s">
        <v>397</v>
      </c>
      <c r="V119" t="s">
        <v>599</v>
      </c>
      <c r="AA119" s="3"/>
      <c r="AC119" s="3"/>
      <c r="AD119" s="1"/>
    </row>
    <row r="120" spans="1:30" ht="60" x14ac:dyDescent="0.25">
      <c r="A120" s="60" t="s">
        <v>725</v>
      </c>
      <c r="B120" s="60" t="s">
        <v>6</v>
      </c>
      <c r="C120" s="60">
        <v>16</v>
      </c>
      <c r="D120" s="2" t="s">
        <v>134</v>
      </c>
      <c r="E120" s="2" t="s">
        <v>135</v>
      </c>
      <c r="F120" s="2" t="s">
        <v>577</v>
      </c>
      <c r="G120" s="8" t="s">
        <v>673</v>
      </c>
      <c r="H120" s="8" t="s">
        <v>637</v>
      </c>
      <c r="I120" s="8" t="s">
        <v>636</v>
      </c>
      <c r="J120" s="2" t="s">
        <v>399</v>
      </c>
      <c r="K120" s="1"/>
      <c r="L120" s="1"/>
      <c r="M120" s="1"/>
      <c r="N120" s="1"/>
      <c r="O120" s="42">
        <f t="shared" si="24"/>
        <v>0.2857142857142857</v>
      </c>
      <c r="P120" s="42">
        <f t="shared" si="25"/>
        <v>0.47619047619047616</v>
      </c>
      <c r="Q120" s="42">
        <f t="shared" si="26"/>
        <v>0.66666666666666663</v>
      </c>
      <c r="R120" s="75">
        <f t="shared" si="27"/>
        <v>0.8571428571428571</v>
      </c>
      <c r="S120" s="75">
        <v>1</v>
      </c>
      <c r="T120" s="73" t="s">
        <v>634</v>
      </c>
      <c r="U120" s="2" t="s">
        <v>397</v>
      </c>
      <c r="V120" t="s">
        <v>599</v>
      </c>
      <c r="AA120" s="3"/>
      <c r="AC120" s="3"/>
      <c r="AD120" s="1"/>
    </row>
    <row r="121" spans="1:30" ht="45" hidden="1" x14ac:dyDescent="0.25">
      <c r="A121" s="61"/>
      <c r="B121" s="61" t="s">
        <v>7</v>
      </c>
      <c r="C121" s="61">
        <v>17</v>
      </c>
      <c r="D121" s="2" t="s">
        <v>136</v>
      </c>
      <c r="E121" s="2" t="s">
        <v>137</v>
      </c>
      <c r="F121" s="2" t="s">
        <v>578</v>
      </c>
      <c r="G121" s="21" t="s">
        <v>144</v>
      </c>
      <c r="H121" s="21" t="s">
        <v>144</v>
      </c>
      <c r="I121" s="21"/>
      <c r="J121" s="21"/>
      <c r="K121" s="21"/>
      <c r="L121" s="2"/>
      <c r="M121" s="2"/>
      <c r="N121" s="2"/>
      <c r="O121" s="42"/>
      <c r="P121" s="42"/>
      <c r="Q121" s="42"/>
      <c r="R121" s="5"/>
      <c r="S121" s="5"/>
      <c r="T121" s="2"/>
      <c r="U121" s="2" t="s">
        <v>398</v>
      </c>
      <c r="W121" s="3"/>
      <c r="X121" s="3"/>
      <c r="Y121" s="3"/>
      <c r="Z121" s="3"/>
      <c r="AA121" s="3"/>
      <c r="AB121" s="3"/>
      <c r="AC121" s="3"/>
      <c r="AD121" s="21"/>
    </row>
    <row r="122" spans="1:30" ht="45" hidden="1" x14ac:dyDescent="0.25">
      <c r="A122" s="61"/>
      <c r="B122" s="61" t="s">
        <v>7</v>
      </c>
      <c r="C122" s="61">
        <v>17</v>
      </c>
      <c r="D122" s="2" t="s">
        <v>136</v>
      </c>
      <c r="E122" s="2" t="s">
        <v>137</v>
      </c>
      <c r="F122" s="2" t="s">
        <v>578</v>
      </c>
      <c r="G122" s="8" t="s">
        <v>567</v>
      </c>
      <c r="H122" s="8" t="s">
        <v>453</v>
      </c>
      <c r="I122" s="8"/>
      <c r="J122" s="2" t="s">
        <v>15</v>
      </c>
      <c r="K122" s="2">
        <v>2018</v>
      </c>
      <c r="L122" s="28">
        <v>0.35</v>
      </c>
      <c r="M122" s="2">
        <v>2019</v>
      </c>
      <c r="N122" s="28">
        <v>0.8</v>
      </c>
      <c r="O122" s="42"/>
      <c r="P122" s="42"/>
      <c r="Q122" s="42"/>
      <c r="R122" s="5"/>
      <c r="S122" s="5"/>
      <c r="T122" s="2"/>
      <c r="U122" s="2" t="s">
        <v>455</v>
      </c>
      <c r="W122" t="s">
        <v>432</v>
      </c>
      <c r="Z122" t="s">
        <v>455</v>
      </c>
      <c r="AA122" s="3" t="s">
        <v>497</v>
      </c>
      <c r="AC122" s="3" t="s">
        <v>494</v>
      </c>
      <c r="AD122" s="2"/>
    </row>
    <row r="123" spans="1:30" ht="105" hidden="1" x14ac:dyDescent="0.25">
      <c r="A123" s="61"/>
      <c r="B123" s="61" t="s">
        <v>7</v>
      </c>
      <c r="C123" s="61">
        <v>18</v>
      </c>
      <c r="D123" s="2" t="s">
        <v>138</v>
      </c>
      <c r="E123" s="2" t="s">
        <v>139</v>
      </c>
      <c r="F123" s="2" t="s">
        <v>579</v>
      </c>
      <c r="G123" s="8" t="s">
        <v>451</v>
      </c>
      <c r="H123" s="8" t="s">
        <v>545</v>
      </c>
      <c r="I123" s="8" t="s">
        <v>113</v>
      </c>
      <c r="J123" s="2" t="s">
        <v>399</v>
      </c>
      <c r="K123" s="2">
        <v>2018</v>
      </c>
      <c r="L123" s="2">
        <v>70</v>
      </c>
      <c r="M123" s="2">
        <v>2019</v>
      </c>
      <c r="N123" s="2">
        <v>68</v>
      </c>
      <c r="O123" s="42"/>
      <c r="P123" s="42"/>
      <c r="Q123" s="42"/>
      <c r="R123" s="5"/>
      <c r="S123" s="5"/>
      <c r="T123" s="2"/>
      <c r="U123" s="2" t="s">
        <v>398</v>
      </c>
      <c r="W123" t="s">
        <v>432</v>
      </c>
      <c r="X123" t="s">
        <v>432</v>
      </c>
      <c r="Y123" t="s">
        <v>432</v>
      </c>
      <c r="AA123" s="3" t="s">
        <v>494</v>
      </c>
      <c r="AC123" s="3" t="s">
        <v>494</v>
      </c>
      <c r="AD123" s="2"/>
    </row>
    <row r="124" spans="1:30" ht="60" x14ac:dyDescent="0.25">
      <c r="A124" s="61" t="s">
        <v>717</v>
      </c>
      <c r="B124" s="61" t="s">
        <v>7</v>
      </c>
      <c r="C124" s="61">
        <v>18</v>
      </c>
      <c r="D124" s="2" t="s">
        <v>138</v>
      </c>
      <c r="E124" s="2" t="s">
        <v>139</v>
      </c>
      <c r="F124" s="2" t="s">
        <v>579</v>
      </c>
      <c r="G124" s="8" t="s">
        <v>674</v>
      </c>
      <c r="H124" s="8" t="s">
        <v>600</v>
      </c>
      <c r="I124" s="8" t="s">
        <v>147</v>
      </c>
      <c r="J124" s="5" t="s">
        <v>151</v>
      </c>
      <c r="K124" s="2">
        <v>2018</v>
      </c>
      <c r="L124" s="47">
        <v>0.75</v>
      </c>
      <c r="M124" s="2">
        <v>2019</v>
      </c>
      <c r="N124" s="28">
        <v>0.8</v>
      </c>
      <c r="O124" s="42">
        <f>(($S124-$L124)/21*6)+$L124</f>
        <v>0.8214285714285714</v>
      </c>
      <c r="P124" s="42">
        <f>(($S124-$L124)/21*10)+$L124</f>
        <v>0.86904761904761907</v>
      </c>
      <c r="Q124" s="42">
        <f>(($S124-$L124)/21*14)+$L124</f>
        <v>0.91666666666666663</v>
      </c>
      <c r="R124" s="77">
        <f>(($S124-$L124)/21*18)+$L124</f>
        <v>0.9642857142857143</v>
      </c>
      <c r="S124" s="77">
        <v>1</v>
      </c>
      <c r="T124" s="66" t="s">
        <v>605</v>
      </c>
      <c r="U124" s="2" t="s">
        <v>397</v>
      </c>
      <c r="V124" t="s">
        <v>599</v>
      </c>
      <c r="W124" t="s">
        <v>432</v>
      </c>
      <c r="AA124" t="s">
        <v>494</v>
      </c>
      <c r="AC124" t="s">
        <v>494</v>
      </c>
      <c r="AD124" s="2" t="s">
        <v>149</v>
      </c>
    </row>
    <row r="125" spans="1:30" ht="75" hidden="1" x14ac:dyDescent="0.25">
      <c r="A125" s="61"/>
      <c r="B125" s="61" t="s">
        <v>7</v>
      </c>
      <c r="C125" s="61">
        <v>18</v>
      </c>
      <c r="D125" s="2" t="s">
        <v>138</v>
      </c>
      <c r="E125" s="62" t="s">
        <v>580</v>
      </c>
      <c r="F125" s="2" t="s">
        <v>579</v>
      </c>
      <c r="G125" s="8" t="s">
        <v>452</v>
      </c>
      <c r="H125" s="8" t="s">
        <v>546</v>
      </c>
      <c r="I125" s="8"/>
      <c r="J125" s="2" t="s">
        <v>399</v>
      </c>
      <c r="K125" s="2">
        <v>2018</v>
      </c>
      <c r="L125" s="2">
        <v>69</v>
      </c>
      <c r="M125" s="2">
        <v>2019</v>
      </c>
      <c r="N125" s="2">
        <v>68</v>
      </c>
      <c r="O125" s="42"/>
      <c r="P125" s="42"/>
      <c r="Q125" s="42"/>
      <c r="R125" s="79"/>
      <c r="S125" s="79">
        <f>L125*1.05</f>
        <v>72.45</v>
      </c>
      <c r="T125" s="64" t="s">
        <v>602</v>
      </c>
      <c r="U125" s="2" t="s">
        <v>398</v>
      </c>
      <c r="W125" t="s">
        <v>432</v>
      </c>
      <c r="X125" t="s">
        <v>432</v>
      </c>
      <c r="Y125" t="s">
        <v>432</v>
      </c>
      <c r="AA125" s="3" t="s">
        <v>494</v>
      </c>
      <c r="AC125" s="3" t="s">
        <v>494</v>
      </c>
      <c r="AD125" s="2"/>
    </row>
    <row r="126" spans="1:30" ht="60" x14ac:dyDescent="0.25">
      <c r="A126" s="61" t="s">
        <v>718</v>
      </c>
      <c r="B126" s="61" t="s">
        <v>7</v>
      </c>
      <c r="C126" s="61">
        <v>19</v>
      </c>
      <c r="D126" s="2" t="s">
        <v>594</v>
      </c>
      <c r="E126" s="2" t="s">
        <v>595</v>
      </c>
      <c r="F126" s="2" t="s">
        <v>540</v>
      </c>
      <c r="G126" s="8" t="s">
        <v>588</v>
      </c>
      <c r="H126" s="8" t="s">
        <v>638</v>
      </c>
      <c r="I126" s="8" t="s">
        <v>113</v>
      </c>
      <c r="J126" s="63" t="s">
        <v>581</v>
      </c>
      <c r="K126" s="5" t="s">
        <v>606</v>
      </c>
      <c r="L126" s="74">
        <f>12/220</f>
        <v>5.4545454545454543E-2</v>
      </c>
      <c r="M126" s="51"/>
      <c r="N126" s="74"/>
      <c r="O126" s="42">
        <f>(($S126-$L126)/21*6)+$L126</f>
        <v>0.32467532467532467</v>
      </c>
      <c r="P126" s="42">
        <f>(($S126-$L126)/21*10)+$L126</f>
        <v>0.50476190476190474</v>
      </c>
      <c r="Q126" s="42">
        <f>(($S126-$L126)/21*14)+$L126</f>
        <v>0.68484848484848482</v>
      </c>
      <c r="R126" s="75">
        <f>(($S126-$L126)/21*18)+$L126</f>
        <v>0.86493506493506489</v>
      </c>
      <c r="S126" s="75">
        <v>1</v>
      </c>
      <c r="T126" s="73" t="s">
        <v>640</v>
      </c>
      <c r="U126" s="2" t="s">
        <v>397</v>
      </c>
      <c r="V126" t="s">
        <v>599</v>
      </c>
      <c r="W126" t="s">
        <v>432</v>
      </c>
      <c r="X126" t="s">
        <v>432</v>
      </c>
      <c r="Y126" t="s">
        <v>432</v>
      </c>
      <c r="AA126" s="3" t="s">
        <v>494</v>
      </c>
      <c r="AC126" s="3" t="s">
        <v>494</v>
      </c>
    </row>
    <row r="127" spans="1:30" ht="60" hidden="1" x14ac:dyDescent="0.25">
      <c r="A127" s="61"/>
      <c r="B127" s="61" t="s">
        <v>7</v>
      </c>
      <c r="C127" s="61">
        <v>20</v>
      </c>
      <c r="D127" s="2" t="s">
        <v>140</v>
      </c>
      <c r="E127" s="2" t="s">
        <v>141</v>
      </c>
      <c r="F127" s="2" t="s">
        <v>540</v>
      </c>
      <c r="G127" s="8" t="s">
        <v>566</v>
      </c>
      <c r="H127" s="8" t="s">
        <v>384</v>
      </c>
      <c r="I127" s="8" t="s">
        <v>143</v>
      </c>
      <c r="J127" s="2" t="s">
        <v>433</v>
      </c>
      <c r="K127" s="2"/>
      <c r="L127" s="2"/>
      <c r="M127" s="2"/>
      <c r="N127" s="2"/>
      <c r="O127" s="42"/>
      <c r="P127" s="42"/>
      <c r="Q127" s="42"/>
      <c r="R127" s="5"/>
      <c r="S127" s="5"/>
      <c r="T127" s="2"/>
      <c r="U127" s="2" t="s">
        <v>398</v>
      </c>
      <c r="W127" s="3"/>
      <c r="X127" s="3" t="s">
        <v>432</v>
      </c>
      <c r="Y127" s="3" t="s">
        <v>432</v>
      </c>
      <c r="Z127" s="3"/>
      <c r="AA127" s="3" t="s">
        <v>494</v>
      </c>
      <c r="AB127" s="3"/>
      <c r="AC127" s="3" t="s">
        <v>494</v>
      </c>
      <c r="AD127" s="2"/>
    </row>
    <row r="128" spans="1:30" ht="60" x14ac:dyDescent="0.25">
      <c r="A128" s="61" t="s">
        <v>726</v>
      </c>
      <c r="B128" s="61" t="s">
        <v>7</v>
      </c>
      <c r="C128" s="61">
        <v>20</v>
      </c>
      <c r="D128" s="2" t="s">
        <v>140</v>
      </c>
      <c r="E128" s="2" t="s">
        <v>141</v>
      </c>
      <c r="F128" s="2" t="s">
        <v>540</v>
      </c>
      <c r="G128" s="8" t="s">
        <v>590</v>
      </c>
      <c r="H128" s="8" t="s">
        <v>414</v>
      </c>
      <c r="I128" s="8"/>
      <c r="J128" s="2" t="s">
        <v>15</v>
      </c>
      <c r="K128" s="2">
        <v>2018</v>
      </c>
      <c r="L128" s="2">
        <v>4.17</v>
      </c>
      <c r="M128" s="3">
        <v>2019</v>
      </c>
      <c r="N128" s="2">
        <v>4.13</v>
      </c>
      <c r="O128" s="46">
        <f>(($S128-$L128)/21*6)+$L128</f>
        <v>4.2295714285714281</v>
      </c>
      <c r="P128" s="46">
        <f>(($S128-$L128)/21*10)+$L128</f>
        <v>4.2692857142857141</v>
      </c>
      <c r="Q128" s="46">
        <f>(($S128-$L128)/21*14)+$L128</f>
        <v>4.3090000000000002</v>
      </c>
      <c r="R128" s="46">
        <f>(($S128-$L128)/21*18)+$L128</f>
        <v>4.3487142857142853</v>
      </c>
      <c r="S128" s="82">
        <f>L128*1.05</f>
        <v>4.3784999999999998</v>
      </c>
      <c r="T128" s="70" t="s">
        <v>602</v>
      </c>
      <c r="U128" s="2" t="s">
        <v>397</v>
      </c>
      <c r="V128" t="s">
        <v>599</v>
      </c>
      <c r="W128" t="s">
        <v>432</v>
      </c>
      <c r="X128" t="s">
        <v>432</v>
      </c>
      <c r="Y128" t="s">
        <v>432</v>
      </c>
      <c r="AA128" s="3" t="s">
        <v>494</v>
      </c>
      <c r="AC128" s="3" t="s">
        <v>494</v>
      </c>
      <c r="AD128" s="2"/>
    </row>
    <row r="129" spans="1:30" ht="60" hidden="1" x14ac:dyDescent="0.25">
      <c r="A129" s="61"/>
      <c r="B129" s="61" t="s">
        <v>7</v>
      </c>
      <c r="C129" s="61">
        <v>20</v>
      </c>
      <c r="D129" s="2" t="s">
        <v>140</v>
      </c>
      <c r="E129" s="2" t="s">
        <v>141</v>
      </c>
      <c r="F129" s="2" t="s">
        <v>540</v>
      </c>
      <c r="G129" s="8" t="s">
        <v>591</v>
      </c>
      <c r="H129" s="8" t="s">
        <v>589</v>
      </c>
      <c r="I129" s="8"/>
      <c r="J129" s="63" t="s">
        <v>581</v>
      </c>
      <c r="K129" s="2">
        <v>2018</v>
      </c>
      <c r="L129" s="2">
        <v>4.17</v>
      </c>
      <c r="M129" s="3">
        <v>2019</v>
      </c>
      <c r="N129" s="2">
        <v>4.13</v>
      </c>
      <c r="O129" s="42"/>
      <c r="P129" s="42"/>
      <c r="Q129" s="42"/>
      <c r="R129" s="5"/>
      <c r="S129" s="5"/>
      <c r="T129" s="2"/>
      <c r="U129" s="2" t="s">
        <v>398</v>
      </c>
      <c r="W129" t="s">
        <v>432</v>
      </c>
      <c r="X129" t="s">
        <v>432</v>
      </c>
      <c r="Y129" t="s">
        <v>432</v>
      </c>
      <c r="AA129" s="3" t="s">
        <v>494</v>
      </c>
      <c r="AC129" s="3" t="s">
        <v>494</v>
      </c>
    </row>
    <row r="130" spans="1:30" ht="60" x14ac:dyDescent="0.25">
      <c r="A130" s="61" t="s">
        <v>719</v>
      </c>
      <c r="B130" s="61" t="s">
        <v>7</v>
      </c>
      <c r="C130" s="61">
        <v>20</v>
      </c>
      <c r="D130" s="2" t="s">
        <v>140</v>
      </c>
      <c r="E130" s="2" t="s">
        <v>141</v>
      </c>
      <c r="F130" s="2" t="s">
        <v>540</v>
      </c>
      <c r="G130" s="8" t="s">
        <v>675</v>
      </c>
      <c r="H130" s="8" t="s">
        <v>385</v>
      </c>
      <c r="I130" s="8" t="s">
        <v>143</v>
      </c>
      <c r="J130" s="2" t="s">
        <v>433</v>
      </c>
      <c r="K130" s="2">
        <v>2018</v>
      </c>
      <c r="L130" s="42">
        <v>0.91119714234399596</v>
      </c>
      <c r="M130" s="2"/>
      <c r="N130" s="2"/>
      <c r="O130" s="42">
        <f>(($S130-$L130)/21*6)+$L130</f>
        <v>0.9222836731028542</v>
      </c>
      <c r="P130" s="42">
        <f>(($S130-$L130)/21*10)+$L130</f>
        <v>0.92967469360875976</v>
      </c>
      <c r="Q130" s="42">
        <f>(($S130-$L130)/21*14)+$L130</f>
        <v>0.93706571411466533</v>
      </c>
      <c r="R130" s="77">
        <f>(($S130-$L130)/21*18)+$L130</f>
        <v>0.94445673462057078</v>
      </c>
      <c r="S130" s="77">
        <v>0.95</v>
      </c>
      <c r="T130" s="66" t="s">
        <v>490</v>
      </c>
      <c r="U130" s="2" t="s">
        <v>397</v>
      </c>
      <c r="V130" t="s">
        <v>599</v>
      </c>
      <c r="W130" s="3"/>
      <c r="X130" s="3" t="s">
        <v>432</v>
      </c>
      <c r="Y130" s="3" t="s">
        <v>432</v>
      </c>
      <c r="Z130" s="3"/>
      <c r="AA130" s="3" t="s">
        <v>494</v>
      </c>
      <c r="AB130" s="3"/>
      <c r="AC130" s="3" t="s">
        <v>494</v>
      </c>
      <c r="AD130" s="2"/>
    </row>
    <row r="131" spans="1:30" ht="60" hidden="1" x14ac:dyDescent="0.25">
      <c r="A131" s="61"/>
      <c r="B131" s="61" t="s">
        <v>7</v>
      </c>
      <c r="C131" s="61">
        <v>20</v>
      </c>
      <c r="D131" s="2" t="s">
        <v>140</v>
      </c>
      <c r="E131" s="2" t="s">
        <v>141</v>
      </c>
      <c r="F131" s="2" t="s">
        <v>540</v>
      </c>
      <c r="G131" s="8" t="s">
        <v>593</v>
      </c>
      <c r="H131" s="8" t="s">
        <v>592</v>
      </c>
      <c r="I131" s="8" t="s">
        <v>143</v>
      </c>
      <c r="J131" s="63"/>
      <c r="K131" s="2"/>
      <c r="L131" s="2"/>
      <c r="M131" s="2"/>
      <c r="N131" s="2"/>
      <c r="O131" s="42"/>
      <c r="P131" s="42"/>
      <c r="Q131" s="42"/>
      <c r="R131" s="77"/>
      <c r="S131" s="77"/>
      <c r="T131" s="2"/>
      <c r="U131" s="2" t="s">
        <v>583</v>
      </c>
      <c r="W131" s="3"/>
      <c r="X131" s="3" t="s">
        <v>432</v>
      </c>
      <c r="Y131" s="3" t="s">
        <v>432</v>
      </c>
      <c r="Z131" s="3"/>
      <c r="AA131" s="3" t="s">
        <v>494</v>
      </c>
      <c r="AB131" s="3"/>
      <c r="AC131" s="3" t="s">
        <v>494</v>
      </c>
    </row>
    <row r="132" spans="1:30" ht="60" x14ac:dyDescent="0.25">
      <c r="A132" s="61" t="s">
        <v>727</v>
      </c>
      <c r="B132" s="61" t="s">
        <v>7</v>
      </c>
      <c r="C132" s="61">
        <v>20</v>
      </c>
      <c r="D132" s="2" t="s">
        <v>140</v>
      </c>
      <c r="E132" s="2" t="s">
        <v>141</v>
      </c>
      <c r="F132" s="2" t="s">
        <v>540</v>
      </c>
      <c r="G132" s="5" t="s">
        <v>584</v>
      </c>
      <c r="H132" s="51" t="s">
        <v>585</v>
      </c>
      <c r="I132" s="5"/>
      <c r="J132" s="5" t="s">
        <v>586</v>
      </c>
      <c r="K132" s="2">
        <v>2011</v>
      </c>
      <c r="L132" s="28">
        <v>0.55000000000000004</v>
      </c>
      <c r="M132" s="2"/>
      <c r="N132" s="28"/>
      <c r="O132" s="42">
        <f>(($S132-$L132)/21*6)+$L132</f>
        <v>0.55785714285714294</v>
      </c>
      <c r="P132" s="42">
        <f>(($S132-$L132)/21*10)+$L132</f>
        <v>0.5630952380952382</v>
      </c>
      <c r="Q132" s="42">
        <f>(($S132-$L132)/21*14)+$L132</f>
        <v>0.56833333333333347</v>
      </c>
      <c r="R132" s="75">
        <f>(($S132-$L132)/21*18)+$L132</f>
        <v>0.57357142857142873</v>
      </c>
      <c r="S132" s="75">
        <f>L132*1.05</f>
        <v>0.57750000000000012</v>
      </c>
      <c r="T132" s="70" t="s">
        <v>602</v>
      </c>
      <c r="U132" s="2" t="s">
        <v>397</v>
      </c>
      <c r="V132" t="s">
        <v>599</v>
      </c>
      <c r="W132" t="s">
        <v>432</v>
      </c>
      <c r="X132" t="s">
        <v>432</v>
      </c>
      <c r="Y132" t="s">
        <v>432</v>
      </c>
      <c r="Z132" t="s">
        <v>455</v>
      </c>
      <c r="AA132" s="3" t="s">
        <v>498</v>
      </c>
      <c r="AC132" s="3" t="s">
        <v>499</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58" priority="179" operator="containsText" text="NO">
      <formula>NOT(ISERROR(SEARCH("NO",U1)))</formula>
    </cfRule>
  </conditionalFormatting>
  <conditionalFormatting sqref="U58:U59">
    <cfRule type="containsText" dxfId="157" priority="178" operator="containsText" text="NO">
      <formula>NOT(ISERROR(SEARCH("NO",U58)))</formula>
    </cfRule>
  </conditionalFormatting>
  <conditionalFormatting sqref="W1">
    <cfRule type="containsText" dxfId="156" priority="177" operator="containsText" text="NO">
      <formula>NOT(ISERROR(SEARCH("NO",W1)))</formula>
    </cfRule>
  </conditionalFormatting>
  <conditionalFormatting sqref="U56">
    <cfRule type="containsText" dxfId="155" priority="176" operator="containsText" text="NO">
      <formula>NOT(ISERROR(SEARCH("NO",U56)))</formula>
    </cfRule>
  </conditionalFormatting>
  <conditionalFormatting sqref="U112:U113 U84:U92 U103 U105 U130 U95:U99 U127:U128 U115:U125 U64:U81 U33:U62 U1:U31">
    <cfRule type="containsText" dxfId="154" priority="174" operator="containsText" text="Secondary">
      <formula>NOT(ISERROR(SEARCH("Secondary",U1)))</formula>
    </cfRule>
    <cfRule type="containsText" dxfId="153" priority="175" operator="containsText" text="Primary">
      <formula>NOT(ISERROR(SEARCH("Primary",U1)))</formula>
    </cfRule>
  </conditionalFormatting>
  <conditionalFormatting sqref="U93:U94">
    <cfRule type="containsText" dxfId="152" priority="173" operator="containsText" text="NO">
      <formula>NOT(ISERROR(SEARCH("NO",U93)))</formula>
    </cfRule>
  </conditionalFormatting>
  <conditionalFormatting sqref="U93:U94">
    <cfRule type="containsText" dxfId="151" priority="171" operator="containsText" text="Secondary">
      <formula>NOT(ISERROR(SEARCH("Secondary",U93)))</formula>
    </cfRule>
    <cfRule type="containsText" dxfId="150" priority="172" operator="containsText" text="Primary">
      <formula>NOT(ISERROR(SEARCH("Primary",U93)))</formula>
    </cfRule>
  </conditionalFormatting>
  <conditionalFormatting sqref="U100">
    <cfRule type="containsText" dxfId="149" priority="170" operator="containsText" text="NO">
      <formula>NOT(ISERROR(SEARCH("NO",U100)))</formula>
    </cfRule>
  </conditionalFormatting>
  <conditionalFormatting sqref="U100">
    <cfRule type="containsText" dxfId="148" priority="168" operator="containsText" text="Secondary">
      <formula>NOT(ISERROR(SEARCH("Secondary",U100)))</formula>
    </cfRule>
    <cfRule type="containsText" dxfId="147" priority="169" operator="containsText" text="Primary">
      <formula>NOT(ISERROR(SEARCH("Primary",U100)))</formula>
    </cfRule>
  </conditionalFormatting>
  <conditionalFormatting sqref="U102">
    <cfRule type="containsText" dxfId="146" priority="167" operator="containsText" text="NO">
      <formula>NOT(ISERROR(SEARCH("NO",U102)))</formula>
    </cfRule>
  </conditionalFormatting>
  <conditionalFormatting sqref="U102">
    <cfRule type="containsText" dxfId="145" priority="165" operator="containsText" text="Secondary">
      <formula>NOT(ISERROR(SEARCH("Secondary",U102)))</formula>
    </cfRule>
    <cfRule type="containsText" dxfId="144" priority="166" operator="containsText" text="Primary">
      <formula>NOT(ISERROR(SEARCH("Primary",U102)))</formula>
    </cfRule>
  </conditionalFormatting>
  <conditionalFormatting sqref="U107">
    <cfRule type="containsText" dxfId="143" priority="158" operator="containsText" text="NO">
      <formula>NOT(ISERROR(SEARCH("NO",U107)))</formula>
    </cfRule>
  </conditionalFormatting>
  <conditionalFormatting sqref="U107">
    <cfRule type="containsText" dxfId="142" priority="156" operator="containsText" text="Secondary">
      <formula>NOT(ISERROR(SEARCH("Secondary",U107)))</formula>
    </cfRule>
    <cfRule type="containsText" dxfId="141" priority="157" operator="containsText" text="Primary">
      <formula>NOT(ISERROR(SEARCH("Primary",U107)))</formula>
    </cfRule>
  </conditionalFormatting>
  <conditionalFormatting sqref="U104">
    <cfRule type="containsText" dxfId="140" priority="164" operator="containsText" text="NO">
      <formula>NOT(ISERROR(SEARCH("NO",U104)))</formula>
    </cfRule>
  </conditionalFormatting>
  <conditionalFormatting sqref="U104">
    <cfRule type="containsText" dxfId="139" priority="162" operator="containsText" text="Secondary">
      <formula>NOT(ISERROR(SEARCH("Secondary",U104)))</formula>
    </cfRule>
    <cfRule type="containsText" dxfId="138" priority="163" operator="containsText" text="Primary">
      <formula>NOT(ISERROR(SEARCH("Primary",U104)))</formula>
    </cfRule>
  </conditionalFormatting>
  <conditionalFormatting sqref="U106">
    <cfRule type="containsText" dxfId="137" priority="161" operator="containsText" text="NO">
      <formula>NOT(ISERROR(SEARCH("NO",U106)))</formula>
    </cfRule>
  </conditionalFormatting>
  <conditionalFormatting sqref="U106">
    <cfRule type="containsText" dxfId="136" priority="159" operator="containsText" text="Secondary">
      <formula>NOT(ISERROR(SEARCH("Secondary",U106)))</formula>
    </cfRule>
    <cfRule type="containsText" dxfId="135" priority="160" operator="containsText" text="Primary">
      <formula>NOT(ISERROR(SEARCH("Primary",U106)))</formula>
    </cfRule>
  </conditionalFormatting>
  <conditionalFormatting sqref="U108:U109">
    <cfRule type="containsText" dxfId="134" priority="155" operator="containsText" text="NO">
      <formula>NOT(ISERROR(SEARCH("NO",U108)))</formula>
    </cfRule>
  </conditionalFormatting>
  <conditionalFormatting sqref="U108:U109">
    <cfRule type="containsText" dxfId="133" priority="153" operator="containsText" text="Secondary">
      <formula>NOT(ISERROR(SEARCH("Secondary",U108)))</formula>
    </cfRule>
    <cfRule type="containsText" dxfId="132" priority="154" operator="containsText" text="Primary">
      <formula>NOT(ISERROR(SEARCH("Primary",U108)))</formula>
    </cfRule>
  </conditionalFormatting>
  <conditionalFormatting sqref="U110">
    <cfRule type="containsText" dxfId="131" priority="152" operator="containsText" text="NO">
      <formula>NOT(ISERROR(SEARCH("NO",U110)))</formula>
    </cfRule>
  </conditionalFormatting>
  <conditionalFormatting sqref="U110">
    <cfRule type="containsText" dxfId="130" priority="150" operator="containsText" text="Secondary">
      <formula>NOT(ISERROR(SEARCH("Secondary",U110)))</formula>
    </cfRule>
    <cfRule type="containsText" dxfId="129" priority="151" operator="containsText" text="Primary">
      <formula>NOT(ISERROR(SEARCH("Primary",U110)))</formula>
    </cfRule>
  </conditionalFormatting>
  <conditionalFormatting sqref="U111">
    <cfRule type="containsText" dxfId="128" priority="149" operator="containsText" text="NO">
      <formula>NOT(ISERROR(SEARCH("NO",U111)))</formula>
    </cfRule>
  </conditionalFormatting>
  <conditionalFormatting sqref="U111">
    <cfRule type="containsText" dxfId="127" priority="147" operator="containsText" text="Secondary">
      <formula>NOT(ISERROR(SEARCH("Secondary",U111)))</formula>
    </cfRule>
    <cfRule type="containsText" dxfId="126" priority="148" operator="containsText" text="Primary">
      <formula>NOT(ISERROR(SEARCH("Primary",U111)))</formula>
    </cfRule>
  </conditionalFormatting>
  <conditionalFormatting sqref="U114">
    <cfRule type="containsText" dxfId="125" priority="146" operator="containsText" text="NO">
      <formula>NOT(ISERROR(SEARCH("NO",U114)))</formula>
    </cfRule>
  </conditionalFormatting>
  <conditionalFormatting sqref="U114">
    <cfRule type="containsText" dxfId="124" priority="144" operator="containsText" text="Secondary">
      <formula>NOT(ISERROR(SEARCH("Secondary",U114)))</formula>
    </cfRule>
    <cfRule type="containsText" dxfId="123" priority="145" operator="containsText" text="Primary">
      <formula>NOT(ISERROR(SEARCH("Primary",U114)))</formula>
    </cfRule>
  </conditionalFormatting>
  <conditionalFormatting sqref="X1:AB1">
    <cfRule type="containsText" dxfId="122"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1" priority="141" operator="containsText" text="No">
      <formula>NOT(ISERROR(SEARCH("No",W1)))</formula>
    </cfRule>
    <cfRule type="containsText" dxfId="120" priority="142" operator="containsText" text="Yes">
      <formula>NOT(ISERROR(SEARCH("Yes",W1)))</formula>
    </cfRule>
  </conditionalFormatting>
  <conditionalFormatting sqref="X1:AB1">
    <cfRule type="containsText" dxfId="119" priority="140" operator="containsText" text="NO">
      <formula>NOT(ISERROR(SEARCH("NO",X1)))</formula>
    </cfRule>
  </conditionalFormatting>
  <conditionalFormatting sqref="U32">
    <cfRule type="containsText" dxfId="118" priority="139" operator="containsText" text="NO">
      <formula>NOT(ISERROR(SEARCH("NO",U32)))</formula>
    </cfRule>
  </conditionalFormatting>
  <conditionalFormatting sqref="U32">
    <cfRule type="containsText" dxfId="117" priority="137" operator="containsText" text="Secondary">
      <formula>NOT(ISERROR(SEARCH("Secondary",U32)))</formula>
    </cfRule>
    <cfRule type="containsText" dxfId="116" priority="138" operator="containsText" text="Primary">
      <formula>NOT(ISERROR(SEARCH("Primary",U32)))</formula>
    </cfRule>
  </conditionalFormatting>
  <conditionalFormatting sqref="W32:Z32 AB32">
    <cfRule type="containsText" dxfId="115" priority="135" operator="containsText" text="No">
      <formula>NOT(ISERROR(SEARCH("No",W32)))</formula>
    </cfRule>
    <cfRule type="containsText" dxfId="114"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3" priority="132" operator="containsText" text="Low">
      <formula>NOT(ISERROR(SEARCH("Low",AA2)))</formula>
    </cfRule>
    <cfRule type="containsText" dxfId="112" priority="133" operator="containsText" text="Medium">
      <formula>NOT(ISERROR(SEARCH("Medium",AA2)))</formula>
    </cfRule>
    <cfRule type="containsText" dxfId="111" priority="134" operator="containsText" text="High">
      <formula>NOT(ISERROR(SEARCH("High",AA2)))</formula>
    </cfRule>
  </conditionalFormatting>
  <conditionalFormatting sqref="AB41">
    <cfRule type="containsText" dxfId="110" priority="130" operator="containsText" text="No">
      <formula>NOT(ISERROR(SEARCH("No",AB41)))</formula>
    </cfRule>
    <cfRule type="containsText" dxfId="109" priority="131" operator="containsText" text="Yes">
      <formula>NOT(ISERROR(SEARCH("Yes",AB41)))</formula>
    </cfRule>
  </conditionalFormatting>
  <conditionalFormatting sqref="AA41">
    <cfRule type="containsText" dxfId="108" priority="127" operator="containsText" text="Low">
      <formula>NOT(ISERROR(SEARCH("Low",AA41)))</formula>
    </cfRule>
    <cfRule type="containsText" dxfId="107" priority="128" operator="containsText" text="Medium">
      <formula>NOT(ISERROR(SEARCH("Medium",AA41)))</formula>
    </cfRule>
    <cfRule type="containsText" dxfId="106" priority="129" operator="containsText" text="High">
      <formula>NOT(ISERROR(SEARCH("High",AA41)))</formula>
    </cfRule>
  </conditionalFormatting>
  <conditionalFormatting sqref="AB42">
    <cfRule type="containsText" dxfId="105" priority="125" operator="containsText" text="No">
      <formula>NOT(ISERROR(SEARCH("No",AB42)))</formula>
    </cfRule>
    <cfRule type="containsText" dxfId="104" priority="126" operator="containsText" text="Yes">
      <formula>NOT(ISERROR(SEARCH("Yes",AB42)))</formula>
    </cfRule>
  </conditionalFormatting>
  <conditionalFormatting sqref="AA42">
    <cfRule type="containsText" dxfId="103" priority="122" operator="containsText" text="Low">
      <formula>NOT(ISERROR(SEARCH("Low",AA42)))</formula>
    </cfRule>
    <cfRule type="containsText" dxfId="102" priority="123" operator="containsText" text="Medium">
      <formula>NOT(ISERROR(SEARCH("Medium",AA42)))</formula>
    </cfRule>
    <cfRule type="containsText" dxfId="101" priority="124" operator="containsText" text="High">
      <formula>NOT(ISERROR(SEARCH("High",AA42)))</formula>
    </cfRule>
  </conditionalFormatting>
  <conditionalFormatting sqref="AC1">
    <cfRule type="containsText" dxfId="100" priority="121" operator="containsText" text="NO">
      <formula>NOT(ISERROR(SEARCH("NO",AC1)))</formula>
    </cfRule>
  </conditionalFormatting>
  <conditionalFormatting sqref="AC1">
    <cfRule type="containsText" dxfId="99" priority="119" operator="containsText" text="No">
      <formula>NOT(ISERROR(SEARCH("No",AC1)))</formula>
    </cfRule>
    <cfRule type="containsText" dxfId="98" priority="120" operator="containsText" text="Yes">
      <formula>NOT(ISERROR(SEARCH("Yes",AC1)))</formula>
    </cfRule>
  </conditionalFormatting>
  <conditionalFormatting sqref="AC1">
    <cfRule type="containsText" dxfId="97" priority="118" operator="containsText" text="NO">
      <formula>NOT(ISERROR(SEARCH("NO",AC1)))</formula>
    </cfRule>
  </conditionalFormatting>
  <conditionalFormatting sqref="AC121:AC123 AC130 AC125 AC127:AC128">
    <cfRule type="containsText" dxfId="96" priority="115" operator="containsText" text="Low">
      <formula>NOT(ISERROR(SEARCH("Low",AC121)))</formula>
    </cfRule>
    <cfRule type="containsText" dxfId="95" priority="116" operator="containsText" text="Medium">
      <formula>NOT(ISERROR(SEARCH("Medium",AC121)))</formula>
    </cfRule>
    <cfRule type="containsText" dxfId="94" priority="117" operator="containsText" text="High">
      <formula>NOT(ISERROR(SEARCH("High",AC121)))</formula>
    </cfRule>
  </conditionalFormatting>
  <conditionalFormatting sqref="AC41">
    <cfRule type="containsText" dxfId="93" priority="112" operator="containsText" text="Low">
      <formula>NOT(ISERROR(SEARCH("Low",AC41)))</formula>
    </cfRule>
    <cfRule type="containsText" dxfId="92" priority="113" operator="containsText" text="Medium">
      <formula>NOT(ISERROR(SEARCH("Medium",AC41)))</formula>
    </cfRule>
    <cfRule type="containsText" dxfId="91" priority="114" operator="containsText" text="High">
      <formula>NOT(ISERROR(SEARCH("High",AC41)))</formula>
    </cfRule>
  </conditionalFormatting>
  <conditionalFormatting sqref="AC42">
    <cfRule type="containsText" dxfId="90" priority="109" operator="containsText" text="Low">
      <formula>NOT(ISERROR(SEARCH("Low",AC42)))</formula>
    </cfRule>
    <cfRule type="containsText" dxfId="89" priority="110" operator="containsText" text="Medium">
      <formula>NOT(ISERROR(SEARCH("Medium",AC42)))</formula>
    </cfRule>
    <cfRule type="containsText" dxfId="88" priority="111" operator="containsText" text="High">
      <formula>NOT(ISERROR(SEARCH("High",AC42)))</formula>
    </cfRule>
  </conditionalFormatting>
  <conditionalFormatting sqref="W120:Z120 AB120">
    <cfRule type="containsText" dxfId="87" priority="107" operator="containsText" text="No">
      <formula>NOT(ISERROR(SEARCH("No",W120)))</formula>
    </cfRule>
    <cfRule type="containsText" dxfId="86" priority="108" operator="containsText" text="Yes">
      <formula>NOT(ISERROR(SEARCH("Yes",W120)))</formula>
    </cfRule>
  </conditionalFormatting>
  <conditionalFormatting sqref="AA120">
    <cfRule type="containsText" dxfId="85" priority="104" operator="containsText" text="Low">
      <formula>NOT(ISERROR(SEARCH("Low",AA120)))</formula>
    </cfRule>
    <cfRule type="containsText" dxfId="84" priority="105" operator="containsText" text="Medium">
      <formula>NOT(ISERROR(SEARCH("Medium",AA120)))</formula>
    </cfRule>
    <cfRule type="containsText" dxfId="83" priority="106" operator="containsText" text="High">
      <formula>NOT(ISERROR(SEARCH("High",AA120)))</formula>
    </cfRule>
  </conditionalFormatting>
  <conditionalFormatting sqref="AC120">
    <cfRule type="containsText" dxfId="82" priority="101" operator="containsText" text="Low">
      <formula>NOT(ISERROR(SEARCH("Low",AC120)))</formula>
    </cfRule>
    <cfRule type="containsText" dxfId="81" priority="102" operator="containsText" text="Medium">
      <formula>NOT(ISERROR(SEARCH("Medium",AC120)))</formula>
    </cfRule>
    <cfRule type="containsText" dxfId="80" priority="103" operator="containsText" text="High">
      <formula>NOT(ISERROR(SEARCH("High",AC120)))</formula>
    </cfRule>
  </conditionalFormatting>
  <conditionalFormatting sqref="W119:Z119 AB119">
    <cfRule type="containsText" dxfId="79" priority="99" operator="containsText" text="No">
      <formula>NOT(ISERROR(SEARCH("No",W119)))</formula>
    </cfRule>
    <cfRule type="containsText" dxfId="78" priority="100" operator="containsText" text="Yes">
      <formula>NOT(ISERROR(SEARCH("Yes",W119)))</formula>
    </cfRule>
  </conditionalFormatting>
  <conditionalFormatting sqref="AA119">
    <cfRule type="containsText" dxfId="77" priority="96" operator="containsText" text="Low">
      <formula>NOT(ISERROR(SEARCH("Low",AA119)))</formula>
    </cfRule>
    <cfRule type="containsText" dxfId="76" priority="97" operator="containsText" text="Medium">
      <formula>NOT(ISERROR(SEARCH("Medium",AA119)))</formula>
    </cfRule>
    <cfRule type="containsText" dxfId="75" priority="98" operator="containsText" text="High">
      <formula>NOT(ISERROR(SEARCH("High",AA119)))</formula>
    </cfRule>
  </conditionalFormatting>
  <conditionalFormatting sqref="AC119">
    <cfRule type="containsText" dxfId="74" priority="93" operator="containsText" text="Low">
      <formula>NOT(ISERROR(SEARCH("Low",AC119)))</formula>
    </cfRule>
    <cfRule type="containsText" dxfId="73" priority="94" operator="containsText" text="Medium">
      <formula>NOT(ISERROR(SEARCH("Medium",AC119)))</formula>
    </cfRule>
    <cfRule type="containsText" dxfId="72" priority="95" operator="containsText" text="High">
      <formula>NOT(ISERROR(SEARCH("High",AC119)))</formula>
    </cfRule>
  </conditionalFormatting>
  <conditionalFormatting sqref="U101">
    <cfRule type="containsText" dxfId="71" priority="92" operator="containsText" text="NO">
      <formula>NOT(ISERROR(SEARCH("NO",U101)))</formula>
    </cfRule>
  </conditionalFormatting>
  <conditionalFormatting sqref="U101">
    <cfRule type="containsText" dxfId="70" priority="90" operator="containsText" text="Secondary">
      <formula>NOT(ISERROR(SEARCH("Secondary",U101)))</formula>
    </cfRule>
    <cfRule type="containsText" dxfId="69" priority="91" operator="containsText" text="Primary">
      <formula>NOT(ISERROR(SEARCH("Primary",U101)))</formula>
    </cfRule>
  </conditionalFormatting>
  <conditionalFormatting sqref="AB101 W101:Z101">
    <cfRule type="containsText" dxfId="68" priority="88" operator="containsText" text="No">
      <formula>NOT(ISERROR(SEARCH("No",W101)))</formula>
    </cfRule>
    <cfRule type="containsText" dxfId="67" priority="89" operator="containsText" text="Yes">
      <formula>NOT(ISERROR(SEARCH("Yes",W101)))</formula>
    </cfRule>
  </conditionalFormatting>
  <conditionalFormatting sqref="AA101 AC101">
    <cfRule type="containsText" dxfId="66" priority="85" operator="containsText" text="Low">
      <formula>NOT(ISERROR(SEARCH("Low",AA101)))</formula>
    </cfRule>
    <cfRule type="containsText" dxfId="65" priority="86" operator="containsText" text="Medium">
      <formula>NOT(ISERROR(SEARCH("Medium",AA101)))</formula>
    </cfRule>
    <cfRule type="containsText" dxfId="64" priority="87" operator="containsText" text="High">
      <formula>NOT(ISERROR(SEARCH("High",AA101)))</formula>
    </cfRule>
  </conditionalFormatting>
  <conditionalFormatting sqref="U82:U83">
    <cfRule type="containsText" dxfId="63" priority="84" operator="containsText" text="NO">
      <formula>NOT(ISERROR(SEARCH("NO",U82)))</formula>
    </cfRule>
  </conditionalFormatting>
  <conditionalFormatting sqref="U82:U83">
    <cfRule type="containsText" dxfId="62" priority="82" operator="containsText" text="Secondary">
      <formula>NOT(ISERROR(SEARCH("Secondary",U82)))</formula>
    </cfRule>
    <cfRule type="containsText" dxfId="61" priority="83" operator="containsText" text="Primary">
      <formula>NOT(ISERROR(SEARCH("Primary",U82)))</formula>
    </cfRule>
  </conditionalFormatting>
  <conditionalFormatting sqref="AB82:AB83 Z82:Z83">
    <cfRule type="containsText" dxfId="60" priority="80" operator="containsText" text="No">
      <formula>NOT(ISERROR(SEARCH("No",Z82)))</formula>
    </cfRule>
    <cfRule type="containsText" dxfId="59" priority="81" operator="containsText" text="Yes">
      <formula>NOT(ISERROR(SEARCH("Yes",Z82)))</formula>
    </cfRule>
  </conditionalFormatting>
  <conditionalFormatting sqref="AA82:AA83 AC82:AC83">
    <cfRule type="containsText" dxfId="58" priority="77" operator="containsText" text="Low">
      <formula>NOT(ISERROR(SEARCH("Low",AA82)))</formula>
    </cfRule>
    <cfRule type="containsText" dxfId="57" priority="78" operator="containsText" text="Medium">
      <formula>NOT(ISERROR(SEARCH("Medium",AA82)))</formula>
    </cfRule>
    <cfRule type="containsText" dxfId="56" priority="79" operator="containsText" text="High">
      <formula>NOT(ISERROR(SEARCH("High",AA82)))</formula>
    </cfRule>
  </conditionalFormatting>
  <conditionalFormatting sqref="W82:Y83">
    <cfRule type="containsText" dxfId="55" priority="75" operator="containsText" text="No">
      <formula>NOT(ISERROR(SEARCH("No",W82)))</formula>
    </cfRule>
    <cfRule type="containsText" dxfId="54" priority="76" operator="containsText" text="Yes">
      <formula>NOT(ISERROR(SEARCH("Yes",W82)))</formula>
    </cfRule>
  </conditionalFormatting>
  <conditionalFormatting sqref="U126">
    <cfRule type="containsText" dxfId="53" priority="74" operator="containsText" text="NO">
      <formula>NOT(ISERROR(SEARCH("NO",U126)))</formula>
    </cfRule>
  </conditionalFormatting>
  <conditionalFormatting sqref="U126">
    <cfRule type="containsText" dxfId="52" priority="72" operator="containsText" text="Secondary">
      <formula>NOT(ISERROR(SEARCH("Secondary",U126)))</formula>
    </cfRule>
    <cfRule type="containsText" dxfId="51" priority="73" operator="containsText" text="Primary">
      <formula>NOT(ISERROR(SEARCH("Primary",U126)))</formula>
    </cfRule>
  </conditionalFormatting>
  <conditionalFormatting sqref="W126:Z126 AB126">
    <cfRule type="containsText" dxfId="50" priority="70" operator="containsText" text="No">
      <formula>NOT(ISERROR(SEARCH("No",W126)))</formula>
    </cfRule>
    <cfRule type="containsText" dxfId="49" priority="71" operator="containsText" text="Yes">
      <formula>NOT(ISERROR(SEARCH("Yes",W126)))</formula>
    </cfRule>
  </conditionalFormatting>
  <conditionalFormatting sqref="AA126">
    <cfRule type="containsText" dxfId="48" priority="67" operator="containsText" text="Low">
      <formula>NOT(ISERROR(SEARCH("Low",AA126)))</formula>
    </cfRule>
    <cfRule type="containsText" dxfId="47" priority="68" operator="containsText" text="Medium">
      <formula>NOT(ISERROR(SEARCH("Medium",AA126)))</formula>
    </cfRule>
    <cfRule type="containsText" dxfId="46" priority="69" operator="containsText" text="High">
      <formula>NOT(ISERROR(SEARCH("High",AA126)))</formula>
    </cfRule>
  </conditionalFormatting>
  <conditionalFormatting sqref="AC126">
    <cfRule type="containsText" dxfId="45" priority="64" operator="containsText" text="Low">
      <formula>NOT(ISERROR(SEARCH("Low",AC126)))</formula>
    </cfRule>
    <cfRule type="containsText" dxfId="44" priority="65" operator="containsText" text="Medium">
      <formula>NOT(ISERROR(SEARCH("Medium",AC126)))</formula>
    </cfRule>
    <cfRule type="containsText" dxfId="43" priority="66" operator="containsText" text="High">
      <formula>NOT(ISERROR(SEARCH("High",AC126)))</formula>
    </cfRule>
  </conditionalFormatting>
  <conditionalFormatting sqref="U129">
    <cfRule type="containsText" dxfId="42" priority="63" operator="containsText" text="NO">
      <formula>NOT(ISERROR(SEARCH("NO",U129)))</formula>
    </cfRule>
  </conditionalFormatting>
  <conditionalFormatting sqref="U129">
    <cfRule type="containsText" dxfId="41" priority="61" operator="containsText" text="Secondary">
      <formula>NOT(ISERROR(SEARCH("Secondary",U129)))</formula>
    </cfRule>
    <cfRule type="containsText" dxfId="40" priority="62" operator="containsText" text="Primary">
      <formula>NOT(ISERROR(SEARCH("Primary",U129)))</formula>
    </cfRule>
  </conditionalFormatting>
  <conditionalFormatting sqref="W129:Z129 AB129">
    <cfRule type="containsText" dxfId="39" priority="59" operator="containsText" text="No">
      <formula>NOT(ISERROR(SEARCH("No",W129)))</formula>
    </cfRule>
    <cfRule type="containsText" dxfId="38" priority="60" operator="containsText" text="Yes">
      <formula>NOT(ISERROR(SEARCH("Yes",W129)))</formula>
    </cfRule>
  </conditionalFormatting>
  <conditionalFormatting sqref="AA129">
    <cfRule type="containsText" dxfId="37" priority="56" operator="containsText" text="Low">
      <formula>NOT(ISERROR(SEARCH("Low",AA129)))</formula>
    </cfRule>
    <cfRule type="containsText" dxfId="36" priority="57" operator="containsText" text="Medium">
      <formula>NOT(ISERROR(SEARCH("Medium",AA129)))</formula>
    </cfRule>
    <cfRule type="containsText" dxfId="35" priority="58" operator="containsText" text="High">
      <formula>NOT(ISERROR(SEARCH("High",AA129)))</formula>
    </cfRule>
  </conditionalFormatting>
  <conditionalFormatting sqref="AC129">
    <cfRule type="containsText" dxfId="34" priority="53" operator="containsText" text="Low">
      <formula>NOT(ISERROR(SEARCH("Low",AC129)))</formula>
    </cfRule>
    <cfRule type="containsText" dxfId="33" priority="54" operator="containsText" text="Medium">
      <formula>NOT(ISERROR(SEARCH("Medium",AC129)))</formula>
    </cfRule>
    <cfRule type="containsText" dxfId="32" priority="55" operator="containsText" text="High">
      <formula>NOT(ISERROR(SEARCH("High",AC129)))</formula>
    </cfRule>
  </conditionalFormatting>
  <conditionalFormatting sqref="U131">
    <cfRule type="containsText" dxfId="31" priority="52" operator="containsText" text="NO">
      <formula>NOT(ISERROR(SEARCH("NO",U131)))</formula>
    </cfRule>
  </conditionalFormatting>
  <conditionalFormatting sqref="U131">
    <cfRule type="containsText" dxfId="30" priority="50" operator="containsText" text="Secondary">
      <formula>NOT(ISERROR(SEARCH("Secondary",U131)))</formula>
    </cfRule>
    <cfRule type="containsText" dxfId="29" priority="51" operator="containsText" text="Primary">
      <formula>NOT(ISERROR(SEARCH("Primary",U131)))</formula>
    </cfRule>
  </conditionalFormatting>
  <conditionalFormatting sqref="W131:Z131 AB131">
    <cfRule type="containsText" dxfId="28" priority="48" operator="containsText" text="No">
      <formula>NOT(ISERROR(SEARCH("No",W131)))</formula>
    </cfRule>
    <cfRule type="containsText" dxfId="27" priority="49" operator="containsText" text="Yes">
      <formula>NOT(ISERROR(SEARCH("Yes",W131)))</formula>
    </cfRule>
  </conditionalFormatting>
  <conditionalFormatting sqref="AA131">
    <cfRule type="containsText" dxfId="26" priority="45" operator="containsText" text="Low">
      <formula>NOT(ISERROR(SEARCH("Low",AA131)))</formula>
    </cfRule>
    <cfRule type="containsText" dxfId="25" priority="46" operator="containsText" text="Medium">
      <formula>NOT(ISERROR(SEARCH("Medium",AA131)))</formula>
    </cfRule>
    <cfRule type="containsText" dxfId="24" priority="47" operator="containsText" text="High">
      <formula>NOT(ISERROR(SEARCH("High",AA131)))</formula>
    </cfRule>
  </conditionalFormatting>
  <conditionalFormatting sqref="AC131">
    <cfRule type="containsText" dxfId="23" priority="42" operator="containsText" text="Low">
      <formula>NOT(ISERROR(SEARCH("Low",AC131)))</formula>
    </cfRule>
    <cfRule type="containsText" dxfId="22" priority="43" operator="containsText" text="Medium">
      <formula>NOT(ISERROR(SEARCH("Medium",AC131)))</formula>
    </cfRule>
    <cfRule type="containsText" dxfId="21" priority="44" operator="containsText" text="High">
      <formula>NOT(ISERROR(SEARCH("High",AC131)))</formula>
    </cfRule>
  </conditionalFormatting>
  <conditionalFormatting sqref="AB132 W132:Z132">
    <cfRule type="containsText" dxfId="20" priority="40" operator="containsText" text="No">
      <formula>NOT(ISERROR(SEARCH("No",W132)))</formula>
    </cfRule>
    <cfRule type="containsText" dxfId="19" priority="41" operator="containsText" text="Yes">
      <formula>NOT(ISERROR(SEARCH("Yes",W132)))</formula>
    </cfRule>
  </conditionalFormatting>
  <conditionalFormatting sqref="AA132">
    <cfRule type="containsText" dxfId="18" priority="37" operator="containsText" text="Low">
      <formula>NOT(ISERROR(SEARCH("Low",AA132)))</formula>
    </cfRule>
    <cfRule type="containsText" dxfId="17" priority="38" operator="containsText" text="Medium">
      <formula>NOT(ISERROR(SEARCH("Medium",AA132)))</formula>
    </cfRule>
    <cfRule type="containsText" dxfId="16" priority="39" operator="containsText" text="High">
      <formula>NOT(ISERROR(SEARCH("High",AA132)))</formula>
    </cfRule>
  </conditionalFormatting>
  <conditionalFormatting sqref="AC132">
    <cfRule type="containsText" dxfId="15" priority="34" operator="containsText" text="Low">
      <formula>NOT(ISERROR(SEARCH("Low",AC132)))</formula>
    </cfRule>
    <cfRule type="containsText" dxfId="14" priority="35" operator="containsText" text="Medium">
      <formula>NOT(ISERROR(SEARCH("Medium",AC132)))</formula>
    </cfRule>
    <cfRule type="containsText" dxfId="13" priority="36" operator="containsText" text="High">
      <formula>NOT(ISERROR(SEARCH("High",AC132)))</formula>
    </cfRule>
  </conditionalFormatting>
  <conditionalFormatting sqref="U132">
    <cfRule type="containsText" dxfId="12" priority="33" operator="containsText" text="NO">
      <formula>NOT(ISERROR(SEARCH("NO",U132)))</formula>
    </cfRule>
  </conditionalFormatting>
  <conditionalFormatting sqref="U132">
    <cfRule type="containsText" dxfId="11" priority="31" operator="containsText" text="Secondary">
      <formula>NOT(ISERROR(SEARCH("Secondary",U132)))</formula>
    </cfRule>
    <cfRule type="containsText" dxfId="10" priority="32" operator="containsText" text="Primary">
      <formula>NOT(ISERROR(SEARCH("Primary",U132)))</formula>
    </cfRule>
  </conditionalFormatting>
  <conditionalFormatting sqref="U63">
    <cfRule type="containsText" dxfId="9" priority="30" operator="containsText" text="NO">
      <formula>NOT(ISERROR(SEARCH("NO",U63)))</formula>
    </cfRule>
  </conditionalFormatting>
  <conditionalFormatting sqref="U63">
    <cfRule type="containsText" dxfId="8" priority="28" operator="containsText" text="Secondary">
      <formula>NOT(ISERROR(SEARCH("Secondary",U63)))</formula>
    </cfRule>
    <cfRule type="containsText" dxfId="7" priority="29" operator="containsText" text="Primary">
      <formula>NOT(ISERROR(SEARCH("Primary",U63)))</formula>
    </cfRule>
  </conditionalFormatting>
  <conditionalFormatting sqref="W63:Z63 AB63">
    <cfRule type="containsText" dxfId="6" priority="26" operator="containsText" text="No">
      <formula>NOT(ISERROR(SEARCH("No",W63)))</formula>
    </cfRule>
    <cfRule type="containsText" dxfId="5" priority="27" operator="containsText" text="Yes">
      <formula>NOT(ISERROR(SEARCH("Yes",W63)))</formula>
    </cfRule>
  </conditionalFormatting>
  <conditionalFormatting sqref="AC63 AA63">
    <cfRule type="containsText" dxfId="4" priority="23" operator="containsText" text="Low">
      <formula>NOT(ISERROR(SEARCH("Low",AA63)))</formula>
    </cfRule>
    <cfRule type="containsText" dxfId="3" priority="24" operator="containsText" text="Medium">
      <formula>NOT(ISERROR(SEARCH("Medium",AA63)))</formula>
    </cfRule>
    <cfRule type="containsText" dxfId="2" priority="25" operator="containsText" text="High">
      <formula>NOT(ISERROR(SEARCH("High",AA63)))</formula>
    </cfRule>
  </conditionalFormatting>
  <conditionalFormatting sqref="V2:V132">
    <cfRule type="containsText" dxfId="1" priority="21" operator="containsText" text="Increase">
      <formula>NOT(ISERROR(SEARCH("Increase",V2)))</formula>
    </cfRule>
    <cfRule type="containsText" dxfId="0"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190"/>
  <sheetViews>
    <sheetView workbookViewId="0"/>
  </sheetViews>
  <sheetFormatPr defaultRowHeight="15" x14ac:dyDescent="0.25"/>
  <cols>
    <col min="2" max="2" width="27.140625" customWidth="1"/>
    <col min="3" max="3" width="49.85546875" style="10" customWidth="1"/>
    <col min="4" max="4" width="22" style="1" hidden="1" customWidth="1"/>
    <col min="5" max="5" width="45.42578125" style="1" customWidth="1"/>
    <col min="6" max="6" width="41.140625" style="1" customWidth="1"/>
  </cols>
  <sheetData>
    <row r="1" spans="2:6" x14ac:dyDescent="0.25">
      <c r="B1" s="16" t="s">
        <v>211</v>
      </c>
      <c r="C1" s="16" t="s">
        <v>3</v>
      </c>
      <c r="D1" s="16" t="s">
        <v>83</v>
      </c>
      <c r="E1" s="16" t="s">
        <v>10</v>
      </c>
      <c r="F1" s="16" t="s">
        <v>9</v>
      </c>
    </row>
    <row r="2" spans="2:6" x14ac:dyDescent="0.25">
      <c r="B2" s="15"/>
      <c r="C2" s="15"/>
      <c r="D2" s="15"/>
      <c r="E2" s="15"/>
      <c r="F2" s="15"/>
    </row>
    <row r="3" spans="2:6" ht="22.15" customHeight="1" x14ac:dyDescent="0.25">
      <c r="B3" t="s">
        <v>212</v>
      </c>
      <c r="C3" s="8" t="s">
        <v>44</v>
      </c>
      <c r="D3" s="2"/>
      <c r="E3" s="2"/>
      <c r="F3" s="2" t="s">
        <v>43</v>
      </c>
    </row>
    <row r="4" spans="2:6" ht="22.15" customHeight="1" x14ac:dyDescent="0.25">
      <c r="B4" t="s">
        <v>212</v>
      </c>
      <c r="C4" s="8" t="s">
        <v>45</v>
      </c>
      <c r="D4" s="2"/>
      <c r="E4" s="2"/>
      <c r="F4" s="2" t="s">
        <v>46</v>
      </c>
    </row>
    <row r="5" spans="2:6" ht="22.15" customHeight="1" x14ac:dyDescent="0.25">
      <c r="B5" t="s">
        <v>212</v>
      </c>
      <c r="C5" s="8"/>
      <c r="D5" s="2"/>
      <c r="E5" s="2"/>
      <c r="F5" s="2"/>
    </row>
    <row r="6" spans="2:6" ht="22.15" customHeight="1" x14ac:dyDescent="0.25">
      <c r="B6" t="s">
        <v>212</v>
      </c>
      <c r="C6" s="8" t="s">
        <v>48</v>
      </c>
      <c r="D6" s="2"/>
      <c r="E6" s="2"/>
      <c r="F6" s="2"/>
    </row>
    <row r="7" spans="2:6" ht="22.15" customHeight="1" x14ac:dyDescent="0.25">
      <c r="B7" t="s">
        <v>212</v>
      </c>
      <c r="C7" s="8" t="s">
        <v>70</v>
      </c>
      <c r="D7" s="4" t="s">
        <v>84</v>
      </c>
      <c r="E7" s="2" t="s">
        <v>79</v>
      </c>
      <c r="F7" s="2"/>
    </row>
    <row r="8" spans="2:6" ht="22.15" customHeight="1" x14ac:dyDescent="0.25">
      <c r="B8" t="s">
        <v>212</v>
      </c>
      <c r="C8" s="8" t="s">
        <v>77</v>
      </c>
      <c r="D8" s="4" t="s">
        <v>84</v>
      </c>
      <c r="E8" s="2" t="s">
        <v>80</v>
      </c>
      <c r="F8" s="2" t="s">
        <v>78</v>
      </c>
    </row>
    <row r="9" spans="2:6" ht="22.15" customHeight="1" x14ac:dyDescent="0.25">
      <c r="B9" t="s">
        <v>212</v>
      </c>
      <c r="C9" s="8" t="s">
        <v>81</v>
      </c>
      <c r="D9" s="4" t="s">
        <v>85</v>
      </c>
      <c r="E9" s="2" t="s">
        <v>82</v>
      </c>
      <c r="F9" s="2"/>
    </row>
    <row r="10" spans="2:6" ht="22.15" customHeight="1" x14ac:dyDescent="0.25">
      <c r="B10" t="s">
        <v>212</v>
      </c>
      <c r="C10" s="8" t="s">
        <v>52</v>
      </c>
      <c r="D10" s="2"/>
      <c r="E10" s="2"/>
      <c r="F10" s="2" t="s">
        <v>53</v>
      </c>
    </row>
    <row r="11" spans="2:6" ht="22.15" customHeight="1" x14ac:dyDescent="0.25">
      <c r="B11" t="s">
        <v>212</v>
      </c>
      <c r="C11" s="8" t="s">
        <v>55</v>
      </c>
      <c r="D11" s="4" t="s">
        <v>87</v>
      </c>
      <c r="E11" s="2"/>
      <c r="F11" s="2" t="s">
        <v>56</v>
      </c>
    </row>
    <row r="12" spans="2:6" ht="22.15" customHeight="1" x14ac:dyDescent="0.25">
      <c r="B12" t="s">
        <v>212</v>
      </c>
      <c r="C12" s="8" t="s">
        <v>57</v>
      </c>
      <c r="D12" s="2"/>
      <c r="E12" s="2"/>
      <c r="F12" s="2" t="s">
        <v>58</v>
      </c>
    </row>
    <row r="13" spans="2:6" ht="22.15" customHeight="1" x14ac:dyDescent="0.25">
      <c r="B13" t="s">
        <v>212</v>
      </c>
      <c r="C13" s="8" t="s">
        <v>71</v>
      </c>
      <c r="D13" s="2"/>
      <c r="E13" s="2"/>
      <c r="F13" s="2"/>
    </row>
    <row r="14" spans="2:6" ht="22.15" customHeight="1" x14ac:dyDescent="0.25">
      <c r="B14" t="s">
        <v>212</v>
      </c>
      <c r="C14" s="8" t="s">
        <v>74</v>
      </c>
      <c r="D14" s="2"/>
      <c r="E14" s="2" t="s">
        <v>73</v>
      </c>
      <c r="F14" s="2" t="s">
        <v>72</v>
      </c>
    </row>
    <row r="15" spans="2:6" ht="22.15" customHeight="1" x14ac:dyDescent="0.25">
      <c r="B15" t="s">
        <v>212</v>
      </c>
      <c r="C15" s="8" t="s">
        <v>76</v>
      </c>
      <c r="D15" s="4" t="s">
        <v>86</v>
      </c>
      <c r="E15" s="2" t="s">
        <v>75</v>
      </c>
      <c r="F15" s="2"/>
    </row>
    <row r="16" spans="2:6" ht="22.15" customHeight="1" x14ac:dyDescent="0.25">
      <c r="B16" t="s">
        <v>212</v>
      </c>
      <c r="C16" s="18" t="s">
        <v>96</v>
      </c>
      <c r="D16" s="2"/>
      <c r="E16" s="2"/>
      <c r="F16" s="2"/>
    </row>
    <row r="17" spans="2:6" ht="22.15" customHeight="1" x14ac:dyDescent="0.25">
      <c r="B17" t="s">
        <v>212</v>
      </c>
      <c r="C17" s="18" t="s">
        <v>97</v>
      </c>
      <c r="D17" s="2"/>
      <c r="E17" s="2"/>
      <c r="F17" s="2"/>
    </row>
    <row r="18" spans="2:6" ht="22.15" customHeight="1" x14ac:dyDescent="0.25">
      <c r="B18" t="s">
        <v>212</v>
      </c>
      <c r="C18" s="18" t="s">
        <v>98</v>
      </c>
      <c r="D18" s="2"/>
      <c r="E18" s="2"/>
      <c r="F18" s="2"/>
    </row>
    <row r="19" spans="2:6" ht="22.15" customHeight="1" x14ac:dyDescent="0.25">
      <c r="B19" t="s">
        <v>212</v>
      </c>
      <c r="C19" s="18" t="s">
        <v>99</v>
      </c>
      <c r="D19" s="2"/>
      <c r="E19" s="2"/>
      <c r="F19" s="2"/>
    </row>
    <row r="20" spans="2:6" ht="22.15" customHeight="1" x14ac:dyDescent="0.25">
      <c r="B20" t="s">
        <v>212</v>
      </c>
      <c r="C20" s="18" t="s">
        <v>100</v>
      </c>
      <c r="D20" s="2"/>
      <c r="E20" s="2"/>
      <c r="F20" s="2"/>
    </row>
    <row r="21" spans="2:6" ht="22.15" customHeight="1" x14ac:dyDescent="0.25">
      <c r="B21" t="s">
        <v>212</v>
      </c>
      <c r="C21" s="8" t="s">
        <v>59</v>
      </c>
      <c r="D21" s="4" t="s">
        <v>114</v>
      </c>
      <c r="E21" s="2"/>
      <c r="F21" s="2" t="s">
        <v>60</v>
      </c>
    </row>
    <row r="22" spans="2:6" ht="22.15" customHeight="1" x14ac:dyDescent="0.25">
      <c r="B22" t="s">
        <v>212</v>
      </c>
      <c r="C22" s="8" t="s">
        <v>61</v>
      </c>
      <c r="D22" s="4" t="s">
        <v>114</v>
      </c>
      <c r="E22" s="2"/>
      <c r="F22" s="2" t="s">
        <v>62</v>
      </c>
    </row>
    <row r="23" spans="2:6" ht="22.15" customHeight="1" x14ac:dyDescent="0.25">
      <c r="B23" t="s">
        <v>212</v>
      </c>
      <c r="C23" s="8" t="s">
        <v>41</v>
      </c>
      <c r="D23" s="2"/>
      <c r="E23" s="2"/>
      <c r="F23" s="2" t="s">
        <v>42</v>
      </c>
    </row>
    <row r="24" spans="2:6" ht="22.15" customHeight="1" x14ac:dyDescent="0.25">
      <c r="B24" t="s">
        <v>212</v>
      </c>
      <c r="C24" s="8" t="s">
        <v>49</v>
      </c>
      <c r="D24" s="6" t="s">
        <v>89</v>
      </c>
      <c r="E24" s="2"/>
      <c r="F24" s="2"/>
    </row>
    <row r="25" spans="2:6" ht="22.15" customHeight="1" x14ac:dyDescent="0.25">
      <c r="B25" t="s">
        <v>212</v>
      </c>
      <c r="C25" s="8" t="s">
        <v>63</v>
      </c>
      <c r="D25" s="6" t="s">
        <v>89</v>
      </c>
      <c r="E25" s="2"/>
      <c r="F25" s="2"/>
    </row>
    <row r="26" spans="2:6" ht="22.15" customHeight="1" x14ac:dyDescent="0.25">
      <c r="B26" t="s">
        <v>212</v>
      </c>
      <c r="C26" s="8" t="s">
        <v>64</v>
      </c>
      <c r="D26" s="6" t="s">
        <v>90</v>
      </c>
      <c r="E26" s="2"/>
      <c r="F26" s="2" t="s">
        <v>65</v>
      </c>
    </row>
    <row r="27" spans="2:6" ht="22.15" customHeight="1" x14ac:dyDescent="0.25">
      <c r="B27" t="s">
        <v>212</v>
      </c>
      <c r="C27" s="8" t="s">
        <v>88</v>
      </c>
      <c r="D27" s="2"/>
      <c r="E27" s="2"/>
      <c r="F27" s="2" t="s">
        <v>47</v>
      </c>
    </row>
    <row r="28" spans="2:6" ht="22.15" customHeight="1" x14ac:dyDescent="0.25">
      <c r="B28" t="s">
        <v>212</v>
      </c>
      <c r="C28" s="8" t="s">
        <v>30</v>
      </c>
      <c r="D28" s="2" t="s">
        <v>91</v>
      </c>
      <c r="E28" s="2"/>
      <c r="F28" s="2" t="s">
        <v>31</v>
      </c>
    </row>
    <row r="29" spans="2:6" ht="22.15" customHeight="1" x14ac:dyDescent="0.25">
      <c r="B29" t="s">
        <v>212</v>
      </c>
      <c r="C29" s="8" t="s">
        <v>39</v>
      </c>
      <c r="D29" s="2"/>
      <c r="E29" s="2"/>
      <c r="F29" s="2" t="s">
        <v>40</v>
      </c>
    </row>
    <row r="30" spans="2:6" ht="22.15" customHeight="1" x14ac:dyDescent="0.25">
      <c r="B30" t="s">
        <v>212</v>
      </c>
      <c r="C30" s="8" t="s">
        <v>39</v>
      </c>
      <c r="D30" s="2"/>
      <c r="E30" s="2"/>
      <c r="F30" s="2" t="s">
        <v>40</v>
      </c>
    </row>
    <row r="31" spans="2:6" ht="22.15" customHeight="1" x14ac:dyDescent="0.25">
      <c r="B31" t="s">
        <v>212</v>
      </c>
      <c r="C31" s="8" t="s">
        <v>50</v>
      </c>
      <c r="D31" s="11" t="s">
        <v>92</v>
      </c>
      <c r="E31" s="2"/>
      <c r="F31" s="2" t="s">
        <v>51</v>
      </c>
    </row>
    <row r="32" spans="2:6" ht="22.15" customHeight="1" x14ac:dyDescent="0.25">
      <c r="B32" t="s">
        <v>212</v>
      </c>
      <c r="C32" s="8" t="s">
        <v>50</v>
      </c>
      <c r="D32" s="11" t="s">
        <v>92</v>
      </c>
      <c r="E32" s="2"/>
      <c r="F32" s="2" t="s">
        <v>51</v>
      </c>
    </row>
    <row r="33" spans="2:6" ht="22.15" customHeight="1" x14ac:dyDescent="0.25">
      <c r="B33" t="s">
        <v>212</v>
      </c>
      <c r="C33" s="8" t="s">
        <v>66</v>
      </c>
      <c r="D33" s="11" t="s">
        <v>92</v>
      </c>
      <c r="E33" s="2"/>
      <c r="F33" s="2"/>
    </row>
    <row r="34" spans="2:6" ht="22.15" customHeight="1" x14ac:dyDescent="0.25">
      <c r="B34" t="s">
        <v>212</v>
      </c>
      <c r="C34" s="8" t="s">
        <v>34</v>
      </c>
      <c r="D34" s="2"/>
      <c r="E34" s="2"/>
      <c r="F34" s="2" t="s">
        <v>35</v>
      </c>
    </row>
    <row r="35" spans="2:6" ht="22.15" customHeight="1" x14ac:dyDescent="0.25">
      <c r="B35" t="s">
        <v>212</v>
      </c>
      <c r="C35" s="8" t="s">
        <v>32</v>
      </c>
      <c r="D35" s="2"/>
      <c r="E35" s="2"/>
      <c r="F35" s="2" t="s">
        <v>33</v>
      </c>
    </row>
    <row r="36" spans="2:6" ht="22.15" customHeight="1" x14ac:dyDescent="0.25">
      <c r="B36" t="s">
        <v>212</v>
      </c>
      <c r="C36" s="8" t="s">
        <v>32</v>
      </c>
      <c r="D36" s="2"/>
      <c r="E36" s="2"/>
      <c r="F36" s="2" t="s">
        <v>33</v>
      </c>
    </row>
    <row r="37" spans="2:6" ht="22.15" customHeight="1" x14ac:dyDescent="0.25">
      <c r="B37" t="s">
        <v>212</v>
      </c>
      <c r="C37" s="8" t="s">
        <v>36</v>
      </c>
      <c r="D37" s="13" t="s">
        <v>94</v>
      </c>
      <c r="E37" s="2"/>
      <c r="F37" s="2"/>
    </row>
    <row r="38" spans="2:6" ht="22.15" customHeight="1" x14ac:dyDescent="0.25">
      <c r="B38" t="s">
        <v>212</v>
      </c>
      <c r="C38" s="8" t="s">
        <v>37</v>
      </c>
      <c r="D38" s="2"/>
      <c r="E38" s="2"/>
      <c r="F38" s="2" t="s">
        <v>38</v>
      </c>
    </row>
    <row r="39" spans="2:6" ht="22.15" customHeight="1" x14ac:dyDescent="0.25">
      <c r="B39" t="s">
        <v>212</v>
      </c>
      <c r="C39" s="8" t="s">
        <v>37</v>
      </c>
      <c r="D39" s="2"/>
      <c r="E39" s="2"/>
      <c r="F39" s="2" t="s">
        <v>38</v>
      </c>
    </row>
    <row r="40" spans="2:6" ht="22.15" customHeight="1" x14ac:dyDescent="0.25">
      <c r="B40" t="s">
        <v>212</v>
      </c>
      <c r="C40" s="8" t="s">
        <v>54</v>
      </c>
      <c r="D40" s="14" t="s">
        <v>95</v>
      </c>
      <c r="E40" s="2"/>
      <c r="F40" s="2"/>
    </row>
    <row r="41" spans="2:6" ht="22.15" customHeight="1" x14ac:dyDescent="0.25">
      <c r="B41" t="s">
        <v>212</v>
      </c>
      <c r="C41" s="8" t="s">
        <v>68</v>
      </c>
      <c r="D41" s="2"/>
      <c r="E41" s="2"/>
      <c r="F41" s="2" t="s">
        <v>67</v>
      </c>
    </row>
    <row r="42" spans="2:6" ht="22.15" customHeight="1" x14ac:dyDescent="0.25">
      <c r="B42" t="s">
        <v>212</v>
      </c>
      <c r="C42" s="8" t="s">
        <v>69</v>
      </c>
      <c r="D42" s="2"/>
      <c r="E42" s="2"/>
      <c r="F42" s="2"/>
    </row>
    <row r="43" spans="2:6" ht="51.75" customHeight="1" x14ac:dyDescent="0.25">
      <c r="B43" t="s">
        <v>212</v>
      </c>
      <c r="C43" s="8" t="s">
        <v>651</v>
      </c>
      <c r="D43" s="2"/>
      <c r="E43" s="2"/>
      <c r="F43" s="2"/>
    </row>
    <row r="44" spans="2:6" ht="30" x14ac:dyDescent="0.25">
      <c r="B44" t="s">
        <v>213</v>
      </c>
      <c r="C44" s="22" t="s">
        <v>214</v>
      </c>
      <c r="D44" s="2"/>
      <c r="E44" s="2"/>
      <c r="F44" s="2"/>
    </row>
    <row r="45" spans="2:6" ht="45" x14ac:dyDescent="0.25">
      <c r="B45" t="s">
        <v>213</v>
      </c>
      <c r="C45" s="22" t="s">
        <v>215</v>
      </c>
      <c r="D45" s="2"/>
      <c r="E45" s="2"/>
      <c r="F45" s="2"/>
    </row>
    <row r="46" spans="2:6" ht="30" x14ac:dyDescent="0.25">
      <c r="B46" t="s">
        <v>213</v>
      </c>
      <c r="C46" s="22" t="s">
        <v>216</v>
      </c>
      <c r="D46" s="2"/>
      <c r="E46" s="2"/>
      <c r="F46" s="2"/>
    </row>
    <row r="47" spans="2:6" x14ac:dyDescent="0.25">
      <c r="B47" t="s">
        <v>213</v>
      </c>
      <c r="C47" t="s">
        <v>217</v>
      </c>
      <c r="D47" s="2"/>
      <c r="E47" s="2"/>
      <c r="F47" s="2"/>
    </row>
    <row r="48" spans="2:6" x14ac:dyDescent="0.25">
      <c r="B48" t="s">
        <v>213</v>
      </c>
      <c r="C48" s="33" t="s">
        <v>218</v>
      </c>
      <c r="D48" s="2"/>
      <c r="E48" s="2"/>
      <c r="F48" s="2"/>
    </row>
    <row r="49" spans="2:6" x14ac:dyDescent="0.25">
      <c r="B49" t="s">
        <v>213</v>
      </c>
      <c r="C49" s="33" t="s">
        <v>219</v>
      </c>
      <c r="D49" s="2"/>
      <c r="E49" s="2"/>
      <c r="F49" s="2"/>
    </row>
    <row r="50" spans="2:6" x14ac:dyDescent="0.25">
      <c r="B50" t="s">
        <v>213</v>
      </c>
      <c r="C50" s="33" t="s">
        <v>220</v>
      </c>
      <c r="D50" s="2"/>
      <c r="E50" s="2"/>
      <c r="F50" s="2"/>
    </row>
    <row r="51" spans="2:6" x14ac:dyDescent="0.25">
      <c r="B51" t="s">
        <v>213</v>
      </c>
      <c r="C51" s="3" t="s">
        <v>221</v>
      </c>
      <c r="D51" s="2"/>
      <c r="E51" s="2"/>
      <c r="F51" s="2"/>
    </row>
    <row r="52" spans="2:6" ht="30" x14ac:dyDescent="0.25">
      <c r="B52" t="s">
        <v>213</v>
      </c>
      <c r="C52" s="22" t="s">
        <v>222</v>
      </c>
      <c r="D52" s="2"/>
      <c r="E52" s="2"/>
      <c r="F52" s="2"/>
    </row>
    <row r="53" spans="2:6" ht="30" x14ac:dyDescent="0.25">
      <c r="B53" t="s">
        <v>213</v>
      </c>
      <c r="C53" s="22" t="s">
        <v>223</v>
      </c>
      <c r="D53" s="2"/>
      <c r="E53" s="2"/>
      <c r="F53" s="2"/>
    </row>
    <row r="54" spans="2:6" x14ac:dyDescent="0.25">
      <c r="B54" t="s">
        <v>213</v>
      </c>
      <c r="C54" t="s">
        <v>224</v>
      </c>
      <c r="D54" s="2"/>
      <c r="E54" s="2"/>
      <c r="F54" s="2"/>
    </row>
    <row r="55" spans="2:6" x14ac:dyDescent="0.25">
      <c r="B55" t="s">
        <v>213</v>
      </c>
      <c r="C55" s="3" t="s">
        <v>225</v>
      </c>
      <c r="D55" s="2"/>
      <c r="E55" s="2"/>
      <c r="F55" s="2"/>
    </row>
    <row r="56" spans="2:6" x14ac:dyDescent="0.25">
      <c r="B56" t="s">
        <v>213</v>
      </c>
      <c r="C56" s="3" t="s">
        <v>226</v>
      </c>
      <c r="D56" s="2"/>
      <c r="E56" s="2"/>
      <c r="F56" s="2"/>
    </row>
    <row r="57" spans="2:6" x14ac:dyDescent="0.25">
      <c r="B57" t="s">
        <v>213</v>
      </c>
      <c r="C57" s="3" t="s">
        <v>227</v>
      </c>
      <c r="D57" s="2"/>
      <c r="E57" s="2"/>
      <c r="F57" s="2"/>
    </row>
    <row r="58" spans="2:6" x14ac:dyDescent="0.25">
      <c r="B58" t="s">
        <v>213</v>
      </c>
      <c r="C58" s="3" t="s">
        <v>228</v>
      </c>
      <c r="D58" s="2"/>
      <c r="E58" s="2"/>
      <c r="F58" s="2"/>
    </row>
    <row r="59" spans="2:6" x14ac:dyDescent="0.25">
      <c r="B59" t="s">
        <v>213</v>
      </c>
      <c r="C59" s="3" t="s">
        <v>229</v>
      </c>
      <c r="D59" s="2"/>
      <c r="E59" s="2"/>
      <c r="F59" s="2"/>
    </row>
    <row r="60" spans="2:6" x14ac:dyDescent="0.25">
      <c r="B60" t="s">
        <v>213</v>
      </c>
      <c r="C60" s="3" t="s">
        <v>230</v>
      </c>
      <c r="D60" s="2"/>
      <c r="E60" s="2"/>
      <c r="F60" s="2"/>
    </row>
    <row r="61" spans="2:6" x14ac:dyDescent="0.25">
      <c r="B61" t="s">
        <v>213</v>
      </c>
      <c r="C61" s="3" t="s">
        <v>231</v>
      </c>
      <c r="D61" s="2"/>
      <c r="E61" s="2"/>
      <c r="F61" s="2"/>
    </row>
    <row r="62" spans="2:6" x14ac:dyDescent="0.25">
      <c r="B62" t="s">
        <v>213</v>
      </c>
      <c r="C62" s="3" t="s">
        <v>232</v>
      </c>
      <c r="D62" s="2"/>
      <c r="E62" s="2"/>
      <c r="F62" s="2"/>
    </row>
    <row r="63" spans="2:6" x14ac:dyDescent="0.25">
      <c r="B63" t="s">
        <v>213</v>
      </c>
      <c r="C63" s="3" t="s">
        <v>233</v>
      </c>
      <c r="D63" s="2"/>
      <c r="E63" s="2"/>
      <c r="F63" s="2"/>
    </row>
    <row r="64" spans="2:6" x14ac:dyDescent="0.25">
      <c r="B64" t="s">
        <v>213</v>
      </c>
      <c r="C64" s="35" t="s">
        <v>234</v>
      </c>
      <c r="D64" s="2"/>
      <c r="E64" s="2"/>
      <c r="F64" s="2"/>
    </row>
    <row r="65" spans="2:6" x14ac:dyDescent="0.25">
      <c r="B65" t="s">
        <v>213</v>
      </c>
      <c r="C65" s="35" t="s">
        <v>235</v>
      </c>
      <c r="D65" s="2"/>
      <c r="E65" s="2"/>
      <c r="F65" s="2"/>
    </row>
    <row r="66" spans="2:6" x14ac:dyDescent="0.25">
      <c r="B66" t="s">
        <v>213</v>
      </c>
      <c r="C66" s="35" t="s">
        <v>236</v>
      </c>
      <c r="D66" s="2"/>
      <c r="E66" s="2"/>
      <c r="F66" s="2"/>
    </row>
    <row r="67" spans="2:6" x14ac:dyDescent="0.25">
      <c r="B67" t="s">
        <v>213</v>
      </c>
      <c r="C67" s="35" t="s">
        <v>237</v>
      </c>
      <c r="D67" s="2"/>
      <c r="E67" s="2"/>
      <c r="F67" s="2"/>
    </row>
    <row r="68" spans="2:6" x14ac:dyDescent="0.25">
      <c r="B68" t="s">
        <v>213</v>
      </c>
      <c r="C68" s="35" t="s">
        <v>238</v>
      </c>
      <c r="D68" s="2"/>
      <c r="E68" s="2"/>
      <c r="F68" s="2"/>
    </row>
    <row r="69" spans="2:6" ht="105" x14ac:dyDescent="0.25">
      <c r="B69" t="s">
        <v>213</v>
      </c>
      <c r="C69" s="36" t="s">
        <v>245</v>
      </c>
      <c r="D69" s="2"/>
      <c r="E69" s="2"/>
      <c r="F69" s="2"/>
    </row>
    <row r="70" spans="2:6" x14ac:dyDescent="0.25">
      <c r="B70" t="s">
        <v>213</v>
      </c>
      <c r="C70" s="35" t="s">
        <v>239</v>
      </c>
      <c r="D70" s="2"/>
      <c r="E70" s="2"/>
      <c r="F70" s="2"/>
    </row>
    <row r="71" spans="2:6" x14ac:dyDescent="0.25">
      <c r="B71" t="s">
        <v>213</v>
      </c>
      <c r="C71" s="35" t="s">
        <v>240</v>
      </c>
      <c r="D71" s="2"/>
      <c r="E71" s="2"/>
      <c r="F71" s="2"/>
    </row>
    <row r="72" spans="2:6" x14ac:dyDescent="0.25">
      <c r="B72" t="s">
        <v>213</v>
      </c>
      <c r="C72" s="35" t="s">
        <v>241</v>
      </c>
      <c r="D72" s="2"/>
      <c r="E72" s="2"/>
      <c r="F72" s="2"/>
    </row>
    <row r="73" spans="2:6" x14ac:dyDescent="0.25">
      <c r="B73" t="s">
        <v>213</v>
      </c>
      <c r="C73" s="34" t="s">
        <v>242</v>
      </c>
      <c r="D73" s="2"/>
      <c r="E73" s="2"/>
      <c r="F73" s="2"/>
    </row>
    <row r="74" spans="2:6" x14ac:dyDescent="0.25">
      <c r="B74" t="s">
        <v>213</v>
      </c>
      <c r="C74" s="33" t="s">
        <v>243</v>
      </c>
      <c r="D74" s="2"/>
      <c r="E74" s="2"/>
      <c r="F74" s="2"/>
    </row>
    <row r="75" spans="2:6" x14ac:dyDescent="0.25">
      <c r="B75" t="s">
        <v>213</v>
      </c>
      <c r="C75" s="33" t="s">
        <v>244</v>
      </c>
      <c r="D75" s="2"/>
      <c r="E75" s="2"/>
      <c r="F75" s="2"/>
    </row>
    <row r="76" spans="2:6" x14ac:dyDescent="0.25">
      <c r="B76" t="s">
        <v>213</v>
      </c>
      <c r="C76" s="3" t="s">
        <v>246</v>
      </c>
      <c r="D76" s="2"/>
      <c r="E76" s="33" t="s">
        <v>247</v>
      </c>
      <c r="F76" s="2"/>
    </row>
    <row r="77" spans="2:6" x14ac:dyDescent="0.25">
      <c r="B77" t="s">
        <v>213</v>
      </c>
      <c r="C77" s="3" t="s">
        <v>248</v>
      </c>
      <c r="D77" s="2"/>
      <c r="E77" s="2"/>
      <c r="F77" s="2"/>
    </row>
    <row r="78" spans="2:6" x14ac:dyDescent="0.25">
      <c r="B78" t="s">
        <v>213</v>
      </c>
      <c r="C78" s="3" t="s">
        <v>249</v>
      </c>
      <c r="D78" s="2"/>
      <c r="E78" s="2"/>
      <c r="F78" s="2"/>
    </row>
    <row r="79" spans="2:6" x14ac:dyDescent="0.25">
      <c r="B79" t="s">
        <v>213</v>
      </c>
      <c r="C79" s="3" t="s">
        <v>250</v>
      </c>
      <c r="D79" s="2"/>
      <c r="E79" s="2"/>
      <c r="F79" s="2"/>
    </row>
    <row r="80" spans="2:6" x14ac:dyDescent="0.25">
      <c r="B80" t="s">
        <v>213</v>
      </c>
      <c r="C80" s="3" t="s">
        <v>251</v>
      </c>
      <c r="D80" s="2"/>
      <c r="E80" s="2"/>
      <c r="F80" s="2"/>
    </row>
    <row r="81" spans="2:6" x14ac:dyDescent="0.25">
      <c r="B81" t="s">
        <v>213</v>
      </c>
      <c r="C81" s="3" t="s">
        <v>252</v>
      </c>
      <c r="D81" s="2"/>
      <c r="E81" s="2"/>
      <c r="F81" s="2"/>
    </row>
    <row r="82" spans="2:6" x14ac:dyDescent="0.25">
      <c r="B82" t="s">
        <v>213</v>
      </c>
      <c r="C82" s="3" t="s">
        <v>253</v>
      </c>
      <c r="D82" s="2"/>
      <c r="E82" s="2"/>
      <c r="F82" s="2"/>
    </row>
    <row r="83" spans="2:6" x14ac:dyDescent="0.25">
      <c r="B83" t="s">
        <v>213</v>
      </c>
      <c r="C83" s="3" t="s">
        <v>254</v>
      </c>
      <c r="D83" s="2"/>
      <c r="E83" s="2"/>
      <c r="F83" s="2"/>
    </row>
    <row r="84" spans="2:6" x14ac:dyDescent="0.25">
      <c r="B84" t="s">
        <v>213</v>
      </c>
      <c r="C84" s="33" t="s">
        <v>255</v>
      </c>
      <c r="D84" s="2"/>
      <c r="E84" s="2"/>
      <c r="F84" s="2"/>
    </row>
    <row r="85" spans="2:6" x14ac:dyDescent="0.25">
      <c r="B85" t="s">
        <v>213</v>
      </c>
      <c r="C85" s="3" t="s">
        <v>256</v>
      </c>
      <c r="D85" s="2"/>
      <c r="E85" s="2"/>
      <c r="F85" s="2"/>
    </row>
    <row r="86" spans="2:6" x14ac:dyDescent="0.25">
      <c r="B86" t="s">
        <v>213</v>
      </c>
      <c r="C86" s="3" t="s">
        <v>257</v>
      </c>
      <c r="D86" s="2"/>
      <c r="E86" s="2"/>
      <c r="F86" s="2"/>
    </row>
    <row r="87" spans="2:6" x14ac:dyDescent="0.25">
      <c r="B87" t="s">
        <v>213</v>
      </c>
      <c r="C87" s="35" t="s">
        <v>258</v>
      </c>
      <c r="D87" s="2"/>
      <c r="E87" s="2"/>
      <c r="F87" s="2"/>
    </row>
    <row r="88" spans="2:6" x14ac:dyDescent="0.25">
      <c r="B88" t="s">
        <v>213</v>
      </c>
      <c r="C88" s="35" t="s">
        <v>259</v>
      </c>
      <c r="D88" s="2"/>
      <c r="E88" s="2"/>
      <c r="F88" s="2"/>
    </row>
    <row r="89" spans="2:6" x14ac:dyDescent="0.25">
      <c r="B89" t="s">
        <v>213</v>
      </c>
      <c r="C89" s="35" t="s">
        <v>260</v>
      </c>
      <c r="D89" s="2"/>
      <c r="E89" s="2"/>
      <c r="F89" s="2"/>
    </row>
    <row r="90" spans="2:6" x14ac:dyDescent="0.25">
      <c r="B90" t="s">
        <v>213</v>
      </c>
      <c r="C90" s="35" t="s">
        <v>261</v>
      </c>
      <c r="D90" s="2"/>
      <c r="E90" s="2"/>
      <c r="F90" s="2"/>
    </row>
    <row r="91" spans="2:6" x14ac:dyDescent="0.25">
      <c r="B91" t="s">
        <v>213</v>
      </c>
      <c r="C91" s="35" t="s">
        <v>262</v>
      </c>
      <c r="D91" s="2"/>
      <c r="E91" s="2"/>
      <c r="F91" s="2"/>
    </row>
    <row r="92" spans="2:6" x14ac:dyDescent="0.25">
      <c r="B92" t="s">
        <v>213</v>
      </c>
      <c r="C92" s="3" t="s">
        <v>263</v>
      </c>
      <c r="D92" s="2"/>
      <c r="E92" s="2"/>
      <c r="F92" s="2"/>
    </row>
    <row r="93" spans="2:6" x14ac:dyDescent="0.25">
      <c r="B93" t="s">
        <v>213</v>
      </c>
      <c r="C93" s="3" t="s">
        <v>264</v>
      </c>
      <c r="D93" s="2"/>
      <c r="E93" s="2"/>
      <c r="F93" s="2"/>
    </row>
    <row r="94" spans="2:6" x14ac:dyDescent="0.25">
      <c r="B94" t="s">
        <v>213</v>
      </c>
      <c r="C94" s="3" t="s">
        <v>265</v>
      </c>
      <c r="D94" s="2"/>
      <c r="E94" s="2"/>
      <c r="F94" s="2"/>
    </row>
    <row r="95" spans="2:6" x14ac:dyDescent="0.25">
      <c r="B95" t="s">
        <v>213</v>
      </c>
      <c r="C95" s="3" t="s">
        <v>266</v>
      </c>
      <c r="D95" s="2"/>
      <c r="E95" s="2"/>
      <c r="F95" s="2"/>
    </row>
    <row r="96" spans="2:6" x14ac:dyDescent="0.25">
      <c r="B96" t="s">
        <v>213</v>
      </c>
      <c r="C96" s="3" t="s">
        <v>267</v>
      </c>
      <c r="D96" s="2"/>
      <c r="E96" s="2"/>
      <c r="F96" s="2"/>
    </row>
    <row r="97" spans="2:6" x14ac:dyDescent="0.25">
      <c r="B97" t="s">
        <v>213</v>
      </c>
      <c r="C97" s="3" t="s">
        <v>268</v>
      </c>
      <c r="D97" s="2"/>
      <c r="E97" s="2"/>
      <c r="F97" s="2"/>
    </row>
    <row r="98" spans="2:6" x14ac:dyDescent="0.25">
      <c r="B98" t="s">
        <v>213</v>
      </c>
      <c r="C98" s="3" t="s">
        <v>269</v>
      </c>
      <c r="D98" s="2"/>
      <c r="E98" s="2"/>
      <c r="F98" s="2"/>
    </row>
    <row r="99" spans="2:6" x14ac:dyDescent="0.25">
      <c r="B99" t="s">
        <v>213</v>
      </c>
      <c r="C99" s="3" t="s">
        <v>270</v>
      </c>
      <c r="D99" s="2"/>
      <c r="E99" s="2"/>
      <c r="F99" s="2"/>
    </row>
    <row r="100" spans="2:6" x14ac:dyDescent="0.25">
      <c r="B100" t="s">
        <v>213</v>
      </c>
      <c r="C100" s="3" t="s">
        <v>271</v>
      </c>
      <c r="D100" s="2"/>
      <c r="E100" s="2"/>
      <c r="F100" s="2"/>
    </row>
    <row r="101" spans="2:6" x14ac:dyDescent="0.25">
      <c r="B101" t="s">
        <v>213</v>
      </c>
      <c r="C101" s="3" t="s">
        <v>272</v>
      </c>
      <c r="D101" s="2"/>
      <c r="E101" s="2"/>
      <c r="F101" s="2"/>
    </row>
    <row r="102" spans="2:6" x14ac:dyDescent="0.25">
      <c r="B102" t="s">
        <v>213</v>
      </c>
      <c r="C102" s="3" t="s">
        <v>273</v>
      </c>
      <c r="D102" s="2"/>
      <c r="E102" s="33" t="s">
        <v>275</v>
      </c>
      <c r="F102" s="2"/>
    </row>
    <row r="103" spans="2:6" x14ac:dyDescent="0.25">
      <c r="B103" t="s">
        <v>213</v>
      </c>
      <c r="C103" s="3" t="s">
        <v>274</v>
      </c>
      <c r="D103" s="2"/>
      <c r="E103" s="33" t="s">
        <v>276</v>
      </c>
      <c r="F103" s="2"/>
    </row>
    <row r="104" spans="2:6" x14ac:dyDescent="0.25">
      <c r="B104" t="s">
        <v>213</v>
      </c>
      <c r="C104" s="38" t="s">
        <v>277</v>
      </c>
      <c r="D104" s="2"/>
      <c r="E104" s="2"/>
      <c r="F104" s="2"/>
    </row>
    <row r="105" spans="2:6" x14ac:dyDescent="0.25">
      <c r="B105" t="s">
        <v>213</v>
      </c>
      <c r="C105" s="3" t="s">
        <v>278</v>
      </c>
      <c r="D105" s="2"/>
      <c r="E105" s="2"/>
      <c r="F105" s="2"/>
    </row>
    <row r="106" spans="2:6" x14ac:dyDescent="0.25">
      <c r="B106" t="s">
        <v>213</v>
      </c>
      <c r="C106" t="s">
        <v>279</v>
      </c>
      <c r="D106" s="2"/>
      <c r="E106" s="2"/>
      <c r="F106" s="2"/>
    </row>
    <row r="107" spans="2:6" x14ac:dyDescent="0.25">
      <c r="B107" t="s">
        <v>213</v>
      </c>
      <c r="C107" s="3" t="s">
        <v>280</v>
      </c>
      <c r="D107" s="2"/>
      <c r="E107" s="2"/>
      <c r="F107" s="2"/>
    </row>
    <row r="108" spans="2:6" x14ac:dyDescent="0.25">
      <c r="B108" t="s">
        <v>213</v>
      </c>
      <c r="C108" s="3" t="s">
        <v>281</v>
      </c>
      <c r="D108" s="2"/>
      <c r="E108" s="2"/>
      <c r="F108" s="2"/>
    </row>
    <row r="109" spans="2:6" x14ac:dyDescent="0.25">
      <c r="B109" t="s">
        <v>213</v>
      </c>
      <c r="C109" s="3" t="s">
        <v>282</v>
      </c>
      <c r="D109" s="2"/>
      <c r="E109" s="2"/>
      <c r="F109" s="2"/>
    </row>
    <row r="110" spans="2:6" ht="18.600000000000001" customHeight="1" x14ac:dyDescent="0.25">
      <c r="B110" t="s">
        <v>213</v>
      </c>
      <c r="C110" s="3" t="s">
        <v>283</v>
      </c>
      <c r="D110" s="2"/>
      <c r="E110" s="2" t="s">
        <v>284</v>
      </c>
      <c r="F110" s="2"/>
    </row>
    <row r="111" spans="2:6" x14ac:dyDescent="0.25">
      <c r="B111" t="s">
        <v>213</v>
      </c>
      <c r="C111" s="3" t="s">
        <v>285</v>
      </c>
      <c r="D111" s="2"/>
      <c r="E111" s="2"/>
      <c r="F111" s="2"/>
    </row>
    <row r="112" spans="2:6" x14ac:dyDescent="0.25">
      <c r="B112" t="s">
        <v>213</v>
      </c>
      <c r="C112" s="3" t="s">
        <v>286</v>
      </c>
      <c r="D112" s="2"/>
      <c r="E112" s="2"/>
      <c r="F112" s="2"/>
    </row>
    <row r="113" spans="2:6" x14ac:dyDescent="0.25">
      <c r="B113" t="s">
        <v>213</v>
      </c>
      <c r="C113" s="38" t="s">
        <v>287</v>
      </c>
      <c r="D113" s="2"/>
      <c r="E113" s="2"/>
      <c r="F113" s="2"/>
    </row>
    <row r="114" spans="2:6" x14ac:dyDescent="0.25">
      <c r="B114" t="s">
        <v>213</v>
      </c>
      <c r="C114" s="38" t="s">
        <v>288</v>
      </c>
      <c r="D114" s="2"/>
      <c r="E114" s="2"/>
      <c r="F114" s="2"/>
    </row>
    <row r="115" spans="2:6" x14ac:dyDescent="0.25">
      <c r="B115" t="s">
        <v>213</v>
      </c>
      <c r="C115" s="38" t="s">
        <v>289</v>
      </c>
      <c r="D115" s="2"/>
      <c r="E115" s="2"/>
      <c r="F115" s="2"/>
    </row>
    <row r="116" spans="2:6" x14ac:dyDescent="0.25">
      <c r="B116" t="s">
        <v>213</v>
      </c>
      <c r="C116" s="38" t="s">
        <v>290</v>
      </c>
      <c r="D116" s="2"/>
      <c r="E116" s="2"/>
      <c r="F116" s="2"/>
    </row>
    <row r="117" spans="2:6" x14ac:dyDescent="0.25">
      <c r="B117" t="s">
        <v>213</v>
      </c>
      <c r="C117" s="33" t="s">
        <v>291</v>
      </c>
      <c r="D117" s="2"/>
      <c r="E117" s="2"/>
      <c r="F117" s="2"/>
    </row>
    <row r="118" spans="2:6" x14ac:dyDescent="0.25">
      <c r="B118" t="s">
        <v>213</v>
      </c>
      <c r="C118" s="38" t="s">
        <v>292</v>
      </c>
      <c r="D118" s="2"/>
      <c r="E118" s="2"/>
      <c r="F118" s="2"/>
    </row>
    <row r="119" spans="2:6" x14ac:dyDescent="0.25">
      <c r="B119" t="s">
        <v>213</v>
      </c>
      <c r="C119" s="38" t="s">
        <v>293</v>
      </c>
      <c r="D119" s="2"/>
      <c r="E119" s="2"/>
      <c r="F119" s="2"/>
    </row>
    <row r="120" spans="2:6" x14ac:dyDescent="0.25">
      <c r="B120" t="s">
        <v>213</v>
      </c>
      <c r="C120" s="3" t="s">
        <v>294</v>
      </c>
      <c r="D120" s="2"/>
      <c r="E120" s="2"/>
      <c r="F120" s="2"/>
    </row>
    <row r="121" spans="2:6" x14ac:dyDescent="0.25">
      <c r="B121" t="s">
        <v>213</v>
      </c>
      <c r="C121" s="3" t="s">
        <v>295</v>
      </c>
      <c r="D121" s="2"/>
      <c r="E121" s="2"/>
      <c r="F121" s="2"/>
    </row>
    <row r="122" spans="2:6" x14ac:dyDescent="0.25">
      <c r="B122" t="s">
        <v>213</v>
      </c>
      <c r="C122" s="3" t="s">
        <v>296</v>
      </c>
      <c r="D122" s="2"/>
      <c r="E122" s="2"/>
      <c r="F122" s="2"/>
    </row>
    <row r="123" spans="2:6" x14ac:dyDescent="0.25">
      <c r="B123" t="s">
        <v>213</v>
      </c>
      <c r="C123" s="3" t="s">
        <v>297</v>
      </c>
      <c r="D123" s="2"/>
      <c r="E123" s="2"/>
      <c r="F123" s="2"/>
    </row>
    <row r="124" spans="2:6" x14ac:dyDescent="0.25">
      <c r="B124" t="s">
        <v>213</v>
      </c>
      <c r="C124" s="3" t="s">
        <v>298</v>
      </c>
      <c r="D124" s="2"/>
      <c r="E124" s="2"/>
      <c r="F124" s="2"/>
    </row>
    <row r="125" spans="2:6" x14ac:dyDescent="0.25">
      <c r="B125" t="s">
        <v>213</v>
      </c>
      <c r="C125" s="3" t="s">
        <v>299</v>
      </c>
      <c r="D125" s="2"/>
      <c r="E125" s="2"/>
      <c r="F125" s="2"/>
    </row>
    <row r="126" spans="2:6" x14ac:dyDescent="0.25">
      <c r="B126" t="s">
        <v>213</v>
      </c>
      <c r="C126" s="3" t="s">
        <v>300</v>
      </c>
      <c r="D126" s="2"/>
      <c r="E126" s="2"/>
      <c r="F126" s="2"/>
    </row>
    <row r="127" spans="2:6" x14ac:dyDescent="0.25">
      <c r="B127" t="s">
        <v>213</v>
      </c>
      <c r="C127" s="3" t="s">
        <v>301</v>
      </c>
      <c r="D127" s="2"/>
      <c r="E127" s="2"/>
      <c r="F127" s="2"/>
    </row>
    <row r="128" spans="2:6" x14ac:dyDescent="0.25">
      <c r="B128" t="s">
        <v>213</v>
      </c>
      <c r="C128" s="3" t="s">
        <v>302</v>
      </c>
      <c r="D128" s="2"/>
      <c r="E128" s="2"/>
      <c r="F128" s="2"/>
    </row>
    <row r="129" spans="2:6" x14ac:dyDescent="0.25">
      <c r="B129" t="s">
        <v>213</v>
      </c>
      <c r="C129" s="3" t="s">
        <v>303</v>
      </c>
      <c r="D129" s="2"/>
      <c r="E129" s="2"/>
      <c r="F129" s="2"/>
    </row>
    <row r="130" spans="2:6" x14ac:dyDescent="0.25">
      <c r="B130" t="s">
        <v>213</v>
      </c>
      <c r="C130" s="3" t="s">
        <v>304</v>
      </c>
      <c r="D130" s="2"/>
      <c r="E130" s="2"/>
      <c r="F130" s="2"/>
    </row>
    <row r="131" spans="2:6" x14ac:dyDescent="0.25">
      <c r="B131" t="s">
        <v>213</v>
      </c>
      <c r="C131" s="3" t="s">
        <v>305</v>
      </c>
      <c r="D131" s="2"/>
      <c r="E131" s="2"/>
      <c r="F131" s="2"/>
    </row>
    <row r="132" spans="2:6" x14ac:dyDescent="0.25">
      <c r="B132" t="s">
        <v>213</v>
      </c>
      <c r="C132" s="3" t="s">
        <v>306</v>
      </c>
      <c r="D132" s="2"/>
      <c r="E132" s="2"/>
      <c r="F132" s="2"/>
    </row>
    <row r="133" spans="2:6" x14ac:dyDescent="0.25">
      <c r="B133" t="s">
        <v>213</v>
      </c>
      <c r="C133" s="3" t="s">
        <v>307</v>
      </c>
      <c r="D133" s="2"/>
      <c r="E133" s="2"/>
      <c r="F133" s="2"/>
    </row>
    <row r="134" spans="2:6" x14ac:dyDescent="0.25">
      <c r="B134" t="s">
        <v>213</v>
      </c>
      <c r="C134" s="3" t="s">
        <v>308</v>
      </c>
      <c r="D134" s="2"/>
      <c r="E134" s="2"/>
      <c r="F134" s="2"/>
    </row>
    <row r="135" spans="2:6" x14ac:dyDescent="0.25">
      <c r="B135" t="s">
        <v>213</v>
      </c>
      <c r="C135" s="3" t="s">
        <v>309</v>
      </c>
      <c r="D135" s="2"/>
      <c r="E135" s="2"/>
      <c r="F135" s="2"/>
    </row>
    <row r="136" spans="2:6" x14ac:dyDescent="0.25">
      <c r="B136" t="s">
        <v>213</v>
      </c>
      <c r="C136" s="3" t="s">
        <v>310</v>
      </c>
      <c r="D136" s="2"/>
      <c r="E136" s="2"/>
      <c r="F136" s="2"/>
    </row>
    <row r="137" spans="2:6" x14ac:dyDescent="0.25">
      <c r="B137" t="s">
        <v>213</v>
      </c>
      <c r="C137" s="39" t="s">
        <v>311</v>
      </c>
      <c r="D137" s="2"/>
      <c r="E137" s="2"/>
      <c r="F137" s="2"/>
    </row>
    <row r="138" spans="2:6" x14ac:dyDescent="0.25">
      <c r="B138" t="s">
        <v>213</v>
      </c>
      <c r="C138" s="35" t="s">
        <v>312</v>
      </c>
      <c r="D138" s="2"/>
      <c r="E138" s="2"/>
      <c r="F138" s="2"/>
    </row>
    <row r="139" spans="2:6" x14ac:dyDescent="0.25">
      <c r="B139" t="s">
        <v>213</v>
      </c>
      <c r="C139" s="35" t="s">
        <v>313</v>
      </c>
      <c r="D139" s="2"/>
      <c r="E139" s="2"/>
      <c r="F139" s="2"/>
    </row>
    <row r="140" spans="2:6" x14ac:dyDescent="0.25">
      <c r="B140" t="s">
        <v>213</v>
      </c>
      <c r="C140" s="35" t="s">
        <v>314</v>
      </c>
      <c r="D140" s="2"/>
      <c r="E140" s="2"/>
      <c r="F140" s="2"/>
    </row>
    <row r="141" spans="2:6" x14ac:dyDescent="0.25">
      <c r="B141" t="s">
        <v>213</v>
      </c>
      <c r="C141" s="33" t="s">
        <v>315</v>
      </c>
      <c r="D141" s="2"/>
      <c r="E141" s="2"/>
      <c r="F141" s="2"/>
    </row>
    <row r="142" spans="2:6" x14ac:dyDescent="0.25">
      <c r="B142" t="s">
        <v>213</v>
      </c>
      <c r="C142" s="3" t="s">
        <v>316</v>
      </c>
      <c r="D142" s="2"/>
      <c r="E142" s="2"/>
      <c r="F142" s="2"/>
    </row>
    <row r="143" spans="2:6" x14ac:dyDescent="0.25">
      <c r="B143" t="s">
        <v>213</v>
      </c>
      <c r="C143" s="3" t="s">
        <v>347</v>
      </c>
      <c r="D143" s="2"/>
      <c r="E143" s="33" t="s">
        <v>348</v>
      </c>
      <c r="F143" s="37" t="s">
        <v>317</v>
      </c>
    </row>
    <row r="144" spans="2:6" x14ac:dyDescent="0.25">
      <c r="B144" s="2"/>
      <c r="C144" s="2"/>
      <c r="D144" s="2"/>
      <c r="E144" s="2"/>
      <c r="F144" s="2"/>
    </row>
    <row r="145" spans="2:6" x14ac:dyDescent="0.25">
      <c r="B145" s="2"/>
      <c r="C145" s="2"/>
      <c r="D145" s="2"/>
      <c r="E145" s="2"/>
      <c r="F145" s="2"/>
    </row>
    <row r="146" spans="2:6" x14ac:dyDescent="0.25">
      <c r="B146" s="2"/>
      <c r="C146" s="2"/>
      <c r="D146" s="2"/>
      <c r="E146" s="2"/>
      <c r="F146" s="2"/>
    </row>
    <row r="147" spans="2:6" x14ac:dyDescent="0.25">
      <c r="B147" s="2"/>
      <c r="C147" s="2"/>
      <c r="D147" s="2"/>
      <c r="E147" s="2"/>
      <c r="F147" s="2"/>
    </row>
    <row r="148" spans="2:6" x14ac:dyDescent="0.25">
      <c r="B148" s="2"/>
      <c r="C148" s="2"/>
      <c r="D148" s="2"/>
      <c r="E148" s="2"/>
      <c r="F148" s="2"/>
    </row>
    <row r="149" spans="2:6" x14ac:dyDescent="0.25">
      <c r="B149" s="2"/>
      <c r="C149" s="2"/>
      <c r="D149" s="2"/>
      <c r="E149" s="2"/>
      <c r="F149" s="2"/>
    </row>
    <row r="150" spans="2:6" x14ac:dyDescent="0.25">
      <c r="B150" s="2"/>
      <c r="C150" s="2"/>
      <c r="D150" s="2"/>
      <c r="E150" s="2"/>
    </row>
    <row r="151" spans="2:6" x14ac:dyDescent="0.25">
      <c r="B151" s="2"/>
      <c r="C151" s="2"/>
      <c r="D151" s="2"/>
      <c r="E151" s="2"/>
    </row>
    <row r="152" spans="2:6" x14ac:dyDescent="0.25">
      <c r="B152" s="2"/>
      <c r="C152" s="2"/>
      <c r="D152" s="2"/>
      <c r="E152" s="2"/>
    </row>
    <row r="153" spans="2:6" x14ac:dyDescent="0.25">
      <c r="B153" s="2"/>
      <c r="C153" s="2"/>
      <c r="D153" s="2"/>
      <c r="E153" s="2"/>
    </row>
    <row r="154" spans="2:6" x14ac:dyDescent="0.25">
      <c r="B154" s="2"/>
      <c r="C154" s="2"/>
      <c r="D154" s="2"/>
      <c r="E154" s="2"/>
    </row>
    <row r="155" spans="2:6" x14ac:dyDescent="0.25">
      <c r="B155" s="2"/>
      <c r="C155" s="2"/>
      <c r="D155" s="2"/>
      <c r="E155" s="2"/>
    </row>
    <row r="156" spans="2:6" x14ac:dyDescent="0.25">
      <c r="B156" s="2"/>
      <c r="C156" s="2"/>
      <c r="D156" s="2"/>
      <c r="E156" s="2"/>
    </row>
    <row r="157" spans="2:6" x14ac:dyDescent="0.25">
      <c r="B157" s="2"/>
      <c r="C157" s="2"/>
      <c r="D157" s="2"/>
      <c r="E157" s="2"/>
    </row>
    <row r="158" spans="2:6" x14ac:dyDescent="0.25">
      <c r="B158" s="2"/>
      <c r="C158" s="2"/>
      <c r="D158" s="2"/>
      <c r="E158" s="2"/>
    </row>
    <row r="159" spans="2:6" x14ac:dyDescent="0.25">
      <c r="B159" s="2"/>
      <c r="C159" s="2"/>
      <c r="D159" s="2"/>
      <c r="E159" s="2"/>
    </row>
    <row r="160" spans="2:6" x14ac:dyDescent="0.25">
      <c r="B160" s="2"/>
      <c r="C160" s="2"/>
      <c r="D160" s="2"/>
      <c r="E160" s="2"/>
    </row>
    <row r="161" spans="2:5" x14ac:dyDescent="0.25">
      <c r="B161" s="2"/>
      <c r="C161" s="2"/>
      <c r="D161" s="2"/>
      <c r="E161" s="2"/>
    </row>
    <row r="162" spans="2:5" x14ac:dyDescent="0.25">
      <c r="B162" s="2"/>
      <c r="C162" s="2"/>
      <c r="D162" s="2"/>
      <c r="E162" s="2"/>
    </row>
    <row r="163" spans="2:5" x14ac:dyDescent="0.25">
      <c r="B163" s="2"/>
      <c r="C163" s="2"/>
      <c r="D163" s="2"/>
      <c r="E163" s="2"/>
    </row>
    <row r="164" spans="2:5" x14ac:dyDescent="0.25">
      <c r="B164" s="2"/>
      <c r="C164" s="2"/>
      <c r="D164" s="2"/>
      <c r="E164" s="2"/>
    </row>
    <row r="165" spans="2:5" x14ac:dyDescent="0.25">
      <c r="B165" s="2"/>
      <c r="C165" s="2"/>
      <c r="D165" s="2"/>
      <c r="E165" s="2"/>
    </row>
    <row r="166" spans="2:5" x14ac:dyDescent="0.25">
      <c r="B166" s="2"/>
      <c r="C166" s="2"/>
      <c r="D166" s="2"/>
      <c r="E166" s="2"/>
    </row>
    <row r="167" spans="2:5" x14ac:dyDescent="0.25">
      <c r="B167" s="2"/>
      <c r="C167" s="2"/>
      <c r="D167" s="2"/>
      <c r="E167" s="2"/>
    </row>
    <row r="168" spans="2:5" x14ac:dyDescent="0.25">
      <c r="B168" s="2"/>
      <c r="C168" s="2"/>
      <c r="D168" s="2"/>
      <c r="E168" s="2"/>
    </row>
    <row r="169" spans="2:5" x14ac:dyDescent="0.25">
      <c r="B169" s="2"/>
      <c r="C169" s="2"/>
      <c r="D169" s="2"/>
      <c r="E169" s="2"/>
    </row>
    <row r="170" spans="2:5" x14ac:dyDescent="0.25">
      <c r="B170" s="2"/>
      <c r="C170" s="2"/>
      <c r="D170" s="2"/>
      <c r="E170" s="2"/>
    </row>
    <row r="171" spans="2:5" x14ac:dyDescent="0.25">
      <c r="B171" s="2"/>
      <c r="C171" s="2"/>
      <c r="D171" s="2"/>
      <c r="E171" s="2"/>
    </row>
    <row r="172" spans="2:5" x14ac:dyDescent="0.25">
      <c r="B172" s="2"/>
      <c r="C172" s="2"/>
      <c r="D172" s="2"/>
      <c r="E172" s="2"/>
    </row>
    <row r="173" spans="2:5" x14ac:dyDescent="0.25">
      <c r="B173" s="2"/>
      <c r="C173" s="2"/>
      <c r="D173" s="2"/>
      <c r="E173" s="2"/>
    </row>
    <row r="174" spans="2:5" x14ac:dyDescent="0.25">
      <c r="B174" s="2"/>
      <c r="C174" s="2"/>
      <c r="D174" s="2"/>
      <c r="E174" s="2"/>
    </row>
    <row r="175" spans="2:5" x14ac:dyDescent="0.25">
      <c r="B175" s="2"/>
      <c r="C175" s="2"/>
      <c r="D175" s="2"/>
      <c r="E175" s="2"/>
    </row>
    <row r="176" spans="2:5" x14ac:dyDescent="0.25">
      <c r="B176" s="2"/>
      <c r="C176" s="2"/>
      <c r="D176" s="2"/>
      <c r="E176" s="2"/>
    </row>
    <row r="177" spans="2:5" x14ac:dyDescent="0.25">
      <c r="B177" s="2"/>
      <c r="C177" s="2"/>
      <c r="D177" s="2"/>
      <c r="E177" s="2"/>
    </row>
    <row r="178" spans="2:5" x14ac:dyDescent="0.25">
      <c r="B178" s="2"/>
      <c r="C178" s="2"/>
      <c r="D178" s="2"/>
      <c r="E178" s="2"/>
    </row>
    <row r="179" spans="2:5" x14ac:dyDescent="0.25">
      <c r="B179" s="2"/>
      <c r="C179" s="2"/>
      <c r="D179" s="2"/>
      <c r="E179" s="2"/>
    </row>
    <row r="180" spans="2:5" x14ac:dyDescent="0.25">
      <c r="B180" s="2"/>
      <c r="C180" s="2"/>
      <c r="D180" s="2"/>
      <c r="E180" s="2"/>
    </row>
    <row r="181" spans="2:5" x14ac:dyDescent="0.25">
      <c r="B181" s="2"/>
      <c r="C181" s="2"/>
      <c r="D181" s="2"/>
      <c r="E181" s="2"/>
    </row>
    <row r="182" spans="2:5" x14ac:dyDescent="0.25">
      <c r="B182" s="2"/>
      <c r="C182" s="2"/>
      <c r="D182" s="2"/>
      <c r="E182" s="2"/>
    </row>
    <row r="183" spans="2:5" x14ac:dyDescent="0.25">
      <c r="B183" s="2"/>
      <c r="C183" s="2"/>
      <c r="D183" s="2"/>
      <c r="E183" s="2"/>
    </row>
    <row r="184" spans="2:5" x14ac:dyDescent="0.25">
      <c r="B184" s="2"/>
      <c r="C184" s="2"/>
      <c r="D184" s="2"/>
      <c r="E184" s="2"/>
    </row>
    <row r="185" spans="2:5" x14ac:dyDescent="0.25">
      <c r="B185" s="2"/>
      <c r="C185" s="2"/>
      <c r="D185" s="2"/>
      <c r="E185" s="2"/>
    </row>
    <row r="186" spans="2:5" x14ac:dyDescent="0.25">
      <c r="B186" s="2"/>
      <c r="C186" s="2"/>
      <c r="D186" s="2"/>
      <c r="E186" s="2"/>
    </row>
    <row r="187" spans="2:5" x14ac:dyDescent="0.25">
      <c r="B187" s="2"/>
      <c r="C187" s="2"/>
      <c r="D187" s="2"/>
      <c r="E187" s="2"/>
    </row>
    <row r="188" spans="2:5" x14ac:dyDescent="0.25">
      <c r="B188" s="2"/>
      <c r="C188" s="2"/>
      <c r="D188" s="2"/>
      <c r="E188" s="2"/>
    </row>
    <row r="189" spans="2:5" x14ac:dyDescent="0.25">
      <c r="B189" s="2"/>
      <c r="C189" s="2"/>
      <c r="D189" s="2"/>
      <c r="E189" s="2"/>
    </row>
    <row r="190" spans="2:5" x14ac:dyDescent="0.25">
      <c r="B190" s="2"/>
      <c r="C190" s="2"/>
      <c r="D190" s="2"/>
      <c r="E190" s="2"/>
    </row>
  </sheetData>
  <autoFilter ref="B2:F143"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57"/>
  <sheetViews>
    <sheetView workbookViewId="0"/>
  </sheetViews>
  <sheetFormatPr defaultRowHeight="15" x14ac:dyDescent="0.25"/>
  <cols>
    <col min="1" max="1" width="8.85546875" bestFit="1" customWidth="1"/>
    <col min="2" max="2" width="24.28515625" customWidth="1"/>
    <col min="3" max="3" width="40" customWidth="1"/>
    <col min="4" max="4" width="49.5703125" customWidth="1"/>
    <col min="5" max="5" width="40.5703125" customWidth="1"/>
    <col min="6" max="6" width="29.42578125" customWidth="1"/>
  </cols>
  <sheetData>
    <row r="1" spans="1:7" x14ac:dyDescent="0.25">
      <c r="A1" s="48" t="s">
        <v>172</v>
      </c>
      <c r="B1" s="17"/>
      <c r="C1" s="17"/>
      <c r="D1" s="17"/>
      <c r="E1" s="17"/>
      <c r="G1" s="1"/>
    </row>
    <row r="2" spans="1:7" x14ac:dyDescent="0.25">
      <c r="A2" s="49"/>
      <c r="B2" s="19"/>
      <c r="C2" s="19"/>
      <c r="D2" s="19"/>
      <c r="E2" s="19"/>
      <c r="G2" s="7"/>
    </row>
    <row r="3" spans="1:7" x14ac:dyDescent="0.25">
      <c r="A3" s="50" t="s">
        <v>186</v>
      </c>
      <c r="B3" s="2"/>
      <c r="C3" s="2"/>
      <c r="D3" s="2"/>
      <c r="E3" s="2"/>
      <c r="G3" s="2"/>
    </row>
    <row r="4" spans="1:7" x14ac:dyDescent="0.25">
      <c r="A4" s="2"/>
      <c r="C4" s="2"/>
      <c r="D4" s="2"/>
      <c r="E4" s="2"/>
      <c r="G4" s="1"/>
    </row>
    <row r="5" spans="1:7" x14ac:dyDescent="0.25">
      <c r="C5" s="2"/>
      <c r="D5" s="2"/>
      <c r="E5" s="2"/>
      <c r="G5" s="2"/>
    </row>
    <row r="6" spans="1:7" x14ac:dyDescent="0.25">
      <c r="C6" s="17" t="s">
        <v>2</v>
      </c>
      <c r="D6" s="25" t="s">
        <v>210</v>
      </c>
      <c r="E6" s="25" t="s">
        <v>194</v>
      </c>
      <c r="F6" s="2"/>
      <c r="G6" s="1"/>
    </row>
    <row r="7" spans="1:7" x14ac:dyDescent="0.25">
      <c r="A7">
        <v>1</v>
      </c>
      <c r="B7" s="100" t="s">
        <v>0</v>
      </c>
      <c r="C7" s="2" t="s">
        <v>17</v>
      </c>
      <c r="D7" s="26" t="s">
        <v>173</v>
      </c>
      <c r="E7" s="2" t="s">
        <v>196</v>
      </c>
      <c r="F7" s="2" t="s">
        <v>173</v>
      </c>
      <c r="G7" s="1"/>
    </row>
    <row r="8" spans="1:7" ht="30" x14ac:dyDescent="0.25">
      <c r="A8">
        <v>2</v>
      </c>
      <c r="B8" s="100"/>
      <c r="C8" s="2" t="s">
        <v>29</v>
      </c>
      <c r="D8" s="26" t="s">
        <v>189</v>
      </c>
      <c r="E8" s="2" t="s">
        <v>197</v>
      </c>
      <c r="F8" s="2" t="s">
        <v>185</v>
      </c>
      <c r="G8" s="1"/>
    </row>
    <row r="9" spans="1:7" x14ac:dyDescent="0.25">
      <c r="A9">
        <v>3</v>
      </c>
      <c r="B9" s="100"/>
      <c r="C9" s="2" t="s">
        <v>18</v>
      </c>
      <c r="D9" s="26" t="s">
        <v>187</v>
      </c>
      <c r="E9" s="2" t="s">
        <v>195</v>
      </c>
      <c r="F9" s="2" t="s">
        <v>187</v>
      </c>
      <c r="G9" s="1"/>
    </row>
    <row r="10" spans="1:7" x14ac:dyDescent="0.25">
      <c r="A10">
        <v>4</v>
      </c>
      <c r="B10" s="100"/>
      <c r="C10" s="2" t="s">
        <v>17</v>
      </c>
      <c r="D10" s="26" t="s">
        <v>174</v>
      </c>
      <c r="E10" s="2" t="s">
        <v>183</v>
      </c>
      <c r="F10" s="2" t="s">
        <v>183</v>
      </c>
      <c r="G10" s="1"/>
    </row>
    <row r="11" spans="1:7" x14ac:dyDescent="0.25">
      <c r="A11">
        <v>5</v>
      </c>
      <c r="B11" s="100"/>
      <c r="C11" s="2" t="s">
        <v>204</v>
      </c>
      <c r="D11" s="26" t="s">
        <v>175</v>
      </c>
      <c r="E11" s="2" t="s">
        <v>175</v>
      </c>
      <c r="F11" s="2" t="s">
        <v>175</v>
      </c>
      <c r="G11" s="1"/>
    </row>
    <row r="12" spans="1:7" ht="30" x14ac:dyDescent="0.25">
      <c r="A12">
        <v>6</v>
      </c>
      <c r="B12" s="101" t="s">
        <v>4</v>
      </c>
      <c r="C12" s="2" t="s">
        <v>20</v>
      </c>
      <c r="D12" s="26" t="s">
        <v>188</v>
      </c>
      <c r="E12" s="2" t="s">
        <v>176</v>
      </c>
      <c r="F12" s="2" t="s">
        <v>176</v>
      </c>
      <c r="G12" s="1"/>
    </row>
    <row r="13" spans="1:7" x14ac:dyDescent="0.25">
      <c r="A13">
        <v>7</v>
      </c>
      <c r="B13" s="101"/>
      <c r="C13" s="2" t="s">
        <v>19</v>
      </c>
      <c r="D13" s="26" t="s">
        <v>209</v>
      </c>
      <c r="E13" s="2" t="s">
        <v>177</v>
      </c>
      <c r="F13" s="2" t="s">
        <v>177</v>
      </c>
      <c r="G13" s="1"/>
    </row>
    <row r="14" spans="1:7" x14ac:dyDescent="0.25">
      <c r="A14">
        <v>8</v>
      </c>
      <c r="B14" s="101"/>
      <c r="C14" s="2" t="s">
        <v>21</v>
      </c>
      <c r="G14" s="1"/>
    </row>
    <row r="15" spans="1:7" x14ac:dyDescent="0.25">
      <c r="A15">
        <v>9</v>
      </c>
      <c r="B15" s="102" t="s">
        <v>5</v>
      </c>
      <c r="C15" s="2" t="s">
        <v>22</v>
      </c>
      <c r="D15" s="26"/>
      <c r="E15" s="2" t="s">
        <v>198</v>
      </c>
      <c r="F15" s="3" t="s">
        <v>184</v>
      </c>
      <c r="G15" s="1"/>
    </row>
    <row r="16" spans="1:7" x14ac:dyDescent="0.25">
      <c r="A16">
        <v>10</v>
      </c>
      <c r="B16" s="102"/>
      <c r="C16" s="2" t="s">
        <v>23</v>
      </c>
      <c r="D16" s="27" t="s">
        <v>190</v>
      </c>
      <c r="E16" s="3" t="s">
        <v>200</v>
      </c>
      <c r="F16" s="2" t="s">
        <v>178</v>
      </c>
      <c r="G16" s="1"/>
    </row>
    <row r="17" spans="1:7" x14ac:dyDescent="0.25">
      <c r="A17">
        <v>11</v>
      </c>
      <c r="B17" s="102"/>
      <c r="C17" s="20"/>
      <c r="F17" s="2" t="s">
        <v>205</v>
      </c>
      <c r="G17" s="1"/>
    </row>
    <row r="18" spans="1:7" x14ac:dyDescent="0.25">
      <c r="A18">
        <v>12</v>
      </c>
      <c r="B18" s="103" t="s">
        <v>6</v>
      </c>
      <c r="C18" s="2" t="s">
        <v>206</v>
      </c>
      <c r="D18" s="26" t="s">
        <v>191</v>
      </c>
      <c r="E18" s="2" t="s">
        <v>179</v>
      </c>
      <c r="F18" s="2" t="s">
        <v>179</v>
      </c>
      <c r="G18" s="1"/>
    </row>
    <row r="19" spans="1:7" x14ac:dyDescent="0.25">
      <c r="A19">
        <v>13</v>
      </c>
      <c r="B19" s="103"/>
      <c r="D19" s="26" t="s">
        <v>180</v>
      </c>
      <c r="E19" s="2" t="s">
        <v>180</v>
      </c>
      <c r="F19" s="2" t="s">
        <v>180</v>
      </c>
      <c r="G19" s="1"/>
    </row>
    <row r="20" spans="1:7" x14ac:dyDescent="0.25">
      <c r="A20">
        <v>14</v>
      </c>
      <c r="B20" s="103"/>
      <c r="C20" s="2" t="s">
        <v>192</v>
      </c>
      <c r="D20" s="26" t="s">
        <v>192</v>
      </c>
      <c r="E20" s="2" t="s">
        <v>181</v>
      </c>
      <c r="F20" s="2" t="s">
        <v>181</v>
      </c>
      <c r="G20" s="1"/>
    </row>
    <row r="21" spans="1:7" x14ac:dyDescent="0.25">
      <c r="A21">
        <v>15</v>
      </c>
      <c r="B21" s="104" t="s">
        <v>7</v>
      </c>
      <c r="C21" s="2" t="s">
        <v>207</v>
      </c>
      <c r="D21" s="26" t="s">
        <v>193</v>
      </c>
      <c r="E21" s="2" t="s">
        <v>199</v>
      </c>
      <c r="F21" s="2" t="s">
        <v>182</v>
      </c>
      <c r="G21" s="1"/>
    </row>
    <row r="22" spans="1:7" x14ac:dyDescent="0.25">
      <c r="A22">
        <v>16</v>
      </c>
      <c r="B22" s="104"/>
      <c r="C22" s="2" t="s">
        <v>208</v>
      </c>
      <c r="D22" s="2"/>
      <c r="E22" s="2" t="s">
        <v>193</v>
      </c>
      <c r="F22" s="2"/>
      <c r="G22" s="1"/>
    </row>
    <row r="23" spans="1:7" x14ac:dyDescent="0.25">
      <c r="B23" s="2"/>
      <c r="C23" s="2"/>
      <c r="D23" s="2"/>
      <c r="E23" s="2"/>
      <c r="G23" s="2"/>
    </row>
    <row r="24" spans="1:7" x14ac:dyDescent="0.25">
      <c r="B24" s="2"/>
      <c r="C24" s="2"/>
      <c r="D24" s="2"/>
      <c r="E24" s="2"/>
      <c r="G24" s="2"/>
    </row>
    <row r="25" spans="1:7" x14ac:dyDescent="0.25">
      <c r="B25" s="2"/>
      <c r="C25" s="2"/>
      <c r="D25" s="2"/>
      <c r="E25" s="2"/>
      <c r="G25" s="2"/>
    </row>
    <row r="26" spans="1:7" x14ac:dyDescent="0.25">
      <c r="B26" s="2"/>
      <c r="C26" s="2"/>
      <c r="D26" s="2"/>
      <c r="E26" s="2"/>
      <c r="G26" s="2"/>
    </row>
    <row r="27" spans="1:7" x14ac:dyDescent="0.25">
      <c r="B27" s="2"/>
      <c r="D27" s="2"/>
      <c r="E27" s="2"/>
      <c r="G27" s="2"/>
    </row>
    <row r="28" spans="1:7" x14ac:dyDescent="0.25">
      <c r="B28" s="2"/>
      <c r="C28" s="2"/>
      <c r="D28" s="2"/>
      <c r="E28" s="2"/>
      <c r="G28" s="2"/>
    </row>
    <row r="29" spans="1:7" x14ac:dyDescent="0.25">
      <c r="B29" s="2"/>
      <c r="C29" s="2"/>
      <c r="D29" s="2"/>
      <c r="E29" s="2"/>
      <c r="G29" s="2"/>
    </row>
    <row r="30" spans="1:7" ht="30" x14ac:dyDescent="0.25">
      <c r="A30" s="2"/>
      <c r="B30" s="24" t="s">
        <v>319</v>
      </c>
      <c r="C30" s="2"/>
      <c r="D30" s="2"/>
      <c r="E30" s="2"/>
      <c r="G30" s="2"/>
    </row>
    <row r="31" spans="1:7" x14ac:dyDescent="0.25">
      <c r="B31" t="s">
        <v>320</v>
      </c>
      <c r="C31" s="2"/>
      <c r="D31" s="2"/>
      <c r="E31" s="2"/>
      <c r="G31" s="2"/>
    </row>
    <row r="32" spans="1:7" x14ac:dyDescent="0.25">
      <c r="B32" t="s">
        <v>321</v>
      </c>
      <c r="C32" s="2"/>
      <c r="D32" s="2"/>
      <c r="E32" s="2"/>
      <c r="G32" s="2"/>
    </row>
    <row r="33" spans="2:7" x14ac:dyDescent="0.25">
      <c r="B33" t="s">
        <v>322</v>
      </c>
      <c r="C33" s="2"/>
      <c r="D33" s="2"/>
      <c r="E33" s="2"/>
      <c r="G33" s="2"/>
    </row>
    <row r="34" spans="2:7" x14ac:dyDescent="0.25">
      <c r="B34" t="s">
        <v>323</v>
      </c>
      <c r="C34" s="2"/>
      <c r="E34" s="2"/>
      <c r="G34" s="2"/>
    </row>
    <row r="35" spans="2:7" x14ac:dyDescent="0.25">
      <c r="B35" t="s">
        <v>345</v>
      </c>
      <c r="C35" s="2"/>
      <c r="D35" s="2"/>
      <c r="E35" s="2"/>
      <c r="G35" s="2"/>
    </row>
    <row r="36" spans="2:7" x14ac:dyDescent="0.25">
      <c r="B36" t="s">
        <v>324</v>
      </c>
      <c r="C36" s="2"/>
      <c r="D36" s="2"/>
      <c r="E36" s="2"/>
      <c r="G36" s="2"/>
    </row>
    <row r="37" spans="2:7" x14ac:dyDescent="0.25">
      <c r="B37" t="s">
        <v>325</v>
      </c>
      <c r="C37" s="2"/>
      <c r="D37" s="2"/>
      <c r="E37" s="2"/>
      <c r="G37" s="2"/>
    </row>
    <row r="38" spans="2:7" x14ac:dyDescent="0.25">
      <c r="B38" t="s">
        <v>326</v>
      </c>
      <c r="C38" s="2"/>
      <c r="D38" s="2"/>
      <c r="E38" s="2"/>
      <c r="G38" s="2"/>
    </row>
    <row r="39" spans="2:7" x14ac:dyDescent="0.25">
      <c r="B39" t="s">
        <v>327</v>
      </c>
      <c r="C39" s="2"/>
      <c r="D39" s="2"/>
      <c r="E39" s="2"/>
      <c r="G39" s="2"/>
    </row>
    <row r="40" spans="2:7" x14ac:dyDescent="0.25">
      <c r="B40" t="s">
        <v>328</v>
      </c>
      <c r="C40" s="2"/>
      <c r="D40" s="2"/>
      <c r="E40" s="2"/>
      <c r="G40" s="2"/>
    </row>
    <row r="41" spans="2:7" x14ac:dyDescent="0.25">
      <c r="B41" t="s">
        <v>333</v>
      </c>
      <c r="C41" s="2"/>
      <c r="D41" s="2"/>
      <c r="E41" s="2"/>
      <c r="G41" s="2"/>
    </row>
    <row r="42" spans="2:7" x14ac:dyDescent="0.25">
      <c r="B42" t="s">
        <v>329</v>
      </c>
      <c r="C42" s="2"/>
      <c r="D42" s="2"/>
      <c r="E42" s="2"/>
      <c r="G42" s="1"/>
    </row>
    <row r="43" spans="2:7" x14ac:dyDescent="0.25">
      <c r="B43" t="s">
        <v>330</v>
      </c>
      <c r="C43" s="2"/>
      <c r="D43" s="2"/>
      <c r="E43" s="2"/>
      <c r="G43" s="2"/>
    </row>
    <row r="44" spans="2:7" x14ac:dyDescent="0.25">
      <c r="B44" t="s">
        <v>331</v>
      </c>
      <c r="C44" s="2"/>
      <c r="D44" s="2"/>
      <c r="E44" s="2"/>
      <c r="G44" s="2"/>
    </row>
    <row r="45" spans="2:7" x14ac:dyDescent="0.25">
      <c r="B45" t="s">
        <v>346</v>
      </c>
      <c r="C45" s="2"/>
      <c r="D45" s="2"/>
      <c r="E45" s="2"/>
      <c r="G45" s="2"/>
    </row>
    <row r="46" spans="2:7" x14ac:dyDescent="0.25">
      <c r="B46" t="s">
        <v>332</v>
      </c>
      <c r="C46" s="2"/>
      <c r="D46" s="2"/>
      <c r="E46" s="2"/>
      <c r="G46" s="2"/>
    </row>
    <row r="47" spans="2:7" x14ac:dyDescent="0.25">
      <c r="B47" t="s">
        <v>334</v>
      </c>
      <c r="C47" s="2"/>
      <c r="D47" s="2"/>
      <c r="E47" s="2"/>
      <c r="G47" s="2"/>
    </row>
    <row r="48" spans="2:7" x14ac:dyDescent="0.25">
      <c r="B48" t="s">
        <v>335</v>
      </c>
      <c r="C48" s="2"/>
      <c r="D48" s="2"/>
      <c r="E48" s="2"/>
      <c r="G48" s="2"/>
    </row>
    <row r="49" spans="1:7" x14ac:dyDescent="0.25">
      <c r="B49" t="s">
        <v>336</v>
      </c>
      <c r="C49" s="2"/>
      <c r="D49" s="2"/>
      <c r="E49" s="2"/>
      <c r="G49" s="2"/>
    </row>
    <row r="50" spans="1:7" x14ac:dyDescent="0.25">
      <c r="B50" t="s">
        <v>337</v>
      </c>
      <c r="C50" s="2"/>
      <c r="D50" s="2"/>
      <c r="E50" s="2"/>
      <c r="G50" s="1"/>
    </row>
    <row r="51" spans="1:7" x14ac:dyDescent="0.25">
      <c r="B51" t="s">
        <v>338</v>
      </c>
      <c r="C51" s="2"/>
      <c r="D51" s="2"/>
      <c r="E51" s="2"/>
      <c r="G51" s="2"/>
    </row>
    <row r="52" spans="1:7" x14ac:dyDescent="0.25">
      <c r="B52" t="s">
        <v>339</v>
      </c>
      <c r="C52" s="2"/>
      <c r="D52" s="2"/>
      <c r="E52" s="2"/>
      <c r="G52" s="2"/>
    </row>
    <row r="53" spans="1:7" x14ac:dyDescent="0.25">
      <c r="B53" t="s">
        <v>340</v>
      </c>
      <c r="C53" s="2"/>
      <c r="D53" s="2"/>
      <c r="E53" s="2"/>
      <c r="G53" s="1"/>
    </row>
    <row r="54" spans="1:7" x14ac:dyDescent="0.25">
      <c r="B54" t="s">
        <v>341</v>
      </c>
      <c r="C54" s="2"/>
      <c r="D54" s="2"/>
      <c r="E54" s="2"/>
      <c r="G54" s="2"/>
    </row>
    <row r="55" spans="1:7" x14ac:dyDescent="0.25">
      <c r="B55" t="s">
        <v>342</v>
      </c>
      <c r="C55" s="2"/>
      <c r="D55" s="2"/>
      <c r="E55" s="2"/>
      <c r="G55" s="2"/>
    </row>
    <row r="56" spans="1:7" x14ac:dyDescent="0.25">
      <c r="B56" t="s">
        <v>343</v>
      </c>
      <c r="C56" s="2"/>
      <c r="D56" s="2"/>
      <c r="E56" s="2"/>
      <c r="G56" s="2"/>
    </row>
    <row r="57" spans="1:7" x14ac:dyDescent="0.25">
      <c r="A57" s="2"/>
      <c r="B57" t="s">
        <v>344</v>
      </c>
      <c r="C57" s="2"/>
      <c r="D57" s="2"/>
      <c r="E57" s="2"/>
      <c r="G57" s="2"/>
    </row>
  </sheetData>
  <mergeCells count="5">
    <mergeCell ref="B7:B11"/>
    <mergeCell ref="B12:B14"/>
    <mergeCell ref="B15:B17"/>
    <mergeCell ref="B18:B20"/>
    <mergeCell ref="B21:B2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96" t="s">
        <v>761</v>
      </c>
      <c r="B1" s="96"/>
      <c r="C1" s="96"/>
      <c r="D1" s="96"/>
      <c r="E1" s="96"/>
    </row>
    <row r="2" spans="1:6" x14ac:dyDescent="0.25">
      <c r="A2" s="96" t="s">
        <v>760</v>
      </c>
      <c r="B2" s="96"/>
      <c r="C2" s="96"/>
      <c r="D2" s="96"/>
      <c r="E2" s="96"/>
    </row>
    <row r="3" spans="1:6" x14ac:dyDescent="0.25">
      <c r="A3" s="97" t="s">
        <v>762</v>
      </c>
      <c r="B3" s="97"/>
      <c r="C3" s="97"/>
      <c r="D3" s="97"/>
      <c r="E3" s="97"/>
      <c r="F3" s="9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J41"/>
  <sheetViews>
    <sheetView workbookViewId="0"/>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s>
  <sheetData>
    <row r="1" spans="1:10" ht="30" x14ac:dyDescent="0.25">
      <c r="A1" s="52" t="s">
        <v>729</v>
      </c>
      <c r="B1" s="52" t="s">
        <v>1</v>
      </c>
      <c r="C1" s="52" t="s">
        <v>2</v>
      </c>
      <c r="D1" s="52" t="s">
        <v>395</v>
      </c>
      <c r="E1" s="52" t="s">
        <v>350</v>
      </c>
      <c r="F1" s="52" t="s">
        <v>142</v>
      </c>
      <c r="G1" s="52" t="s">
        <v>10</v>
      </c>
      <c r="H1" s="52" t="s">
        <v>429</v>
      </c>
      <c r="I1" s="52" t="s">
        <v>763</v>
      </c>
      <c r="J1" s="52" t="s">
        <v>9</v>
      </c>
    </row>
    <row r="2" spans="1:10" ht="120" x14ac:dyDescent="0.25">
      <c r="A2" t="s">
        <v>690</v>
      </c>
      <c r="B2" s="58" t="s">
        <v>0</v>
      </c>
      <c r="C2" s="2" t="s">
        <v>500</v>
      </c>
      <c r="D2" s="8" t="s">
        <v>549</v>
      </c>
      <c r="E2" s="8" t="s">
        <v>437</v>
      </c>
      <c r="F2" s="8" t="s">
        <v>147</v>
      </c>
      <c r="G2" s="2" t="s">
        <v>757</v>
      </c>
      <c r="H2" s="73" t="s">
        <v>632</v>
      </c>
      <c r="I2" s="8" t="s">
        <v>768</v>
      </c>
      <c r="J2" s="8" t="s">
        <v>766</v>
      </c>
    </row>
    <row r="3" spans="1:10" ht="120" x14ac:dyDescent="0.25">
      <c r="A3" t="s">
        <v>692</v>
      </c>
      <c r="B3" s="58" t="s">
        <v>0</v>
      </c>
      <c r="C3" s="2" t="s">
        <v>500</v>
      </c>
      <c r="D3" s="8" t="s">
        <v>514</v>
      </c>
      <c r="E3" s="8" t="s">
        <v>746</v>
      </c>
      <c r="F3" s="8" t="s">
        <v>113</v>
      </c>
      <c r="G3" s="2" t="s">
        <v>13</v>
      </c>
      <c r="H3" s="73" t="s">
        <v>625</v>
      </c>
      <c r="I3" s="8" t="s">
        <v>768</v>
      </c>
      <c r="J3" s="8" t="s">
        <v>766</v>
      </c>
    </row>
    <row r="4" spans="1:10" ht="120" x14ac:dyDescent="0.25">
      <c r="A4" t="s">
        <v>691</v>
      </c>
      <c r="B4" s="58" t="s">
        <v>0</v>
      </c>
      <c r="C4" s="2" t="s">
        <v>500</v>
      </c>
      <c r="D4" s="8" t="s">
        <v>657</v>
      </c>
      <c r="E4" s="8" t="s">
        <v>747</v>
      </c>
      <c r="F4" s="8" t="s">
        <v>113</v>
      </c>
      <c r="G4" s="2" t="s">
        <v>13</v>
      </c>
      <c r="H4" s="73" t="s">
        <v>625</v>
      </c>
      <c r="I4" s="8" t="s">
        <v>768</v>
      </c>
      <c r="J4" s="8" t="s">
        <v>766</v>
      </c>
    </row>
    <row r="5" spans="1:10" ht="135" x14ac:dyDescent="0.25">
      <c r="A5" t="s">
        <v>693</v>
      </c>
      <c r="B5" s="58" t="s">
        <v>0</v>
      </c>
      <c r="C5" s="2" t="s">
        <v>572</v>
      </c>
      <c r="D5" s="9" t="s">
        <v>658</v>
      </c>
      <c r="E5" s="43" t="s">
        <v>491</v>
      </c>
      <c r="F5" s="8" t="s">
        <v>683</v>
      </c>
      <c r="G5" s="8" t="s">
        <v>682</v>
      </c>
      <c r="H5" s="70" t="s">
        <v>602</v>
      </c>
      <c r="I5" s="8" t="s">
        <v>764</v>
      </c>
      <c r="J5" s="8" t="s">
        <v>766</v>
      </c>
    </row>
    <row r="6" spans="1:10" ht="120" x14ac:dyDescent="0.25">
      <c r="A6" t="s">
        <v>694</v>
      </c>
      <c r="B6" s="58" t="s">
        <v>0</v>
      </c>
      <c r="C6" s="2" t="s">
        <v>187</v>
      </c>
      <c r="D6" s="8" t="s">
        <v>659</v>
      </c>
      <c r="E6" s="8" t="s">
        <v>515</v>
      </c>
      <c r="F6" s="8" t="s">
        <v>143</v>
      </c>
      <c r="G6" s="5" t="s">
        <v>152</v>
      </c>
      <c r="H6" s="73" t="s">
        <v>625</v>
      </c>
      <c r="I6" s="8" t="s">
        <v>768</v>
      </c>
      <c r="J6" s="8" t="s">
        <v>766</v>
      </c>
    </row>
    <row r="7" spans="1:10" ht="120" x14ac:dyDescent="0.25">
      <c r="A7" t="s">
        <v>695</v>
      </c>
      <c r="B7" s="58" t="s">
        <v>0</v>
      </c>
      <c r="C7" s="2" t="s">
        <v>187</v>
      </c>
      <c r="D7" s="8" t="s">
        <v>511</v>
      </c>
      <c r="E7" s="8" t="s">
        <v>360</v>
      </c>
      <c r="F7" s="8" t="s">
        <v>147</v>
      </c>
      <c r="G7" s="2" t="s">
        <v>12</v>
      </c>
      <c r="H7" s="73" t="s">
        <v>677</v>
      </c>
      <c r="I7" s="8" t="s">
        <v>768</v>
      </c>
      <c r="J7" s="8" t="s">
        <v>766</v>
      </c>
    </row>
    <row r="8" spans="1:10" ht="120" x14ac:dyDescent="0.25">
      <c r="A8" t="s">
        <v>698</v>
      </c>
      <c r="B8" s="58" t="s">
        <v>0</v>
      </c>
      <c r="C8" s="2" t="s">
        <v>187</v>
      </c>
      <c r="D8" s="8" t="s">
        <v>509</v>
      </c>
      <c r="E8" s="8" t="s">
        <v>356</v>
      </c>
      <c r="F8" s="8" t="s">
        <v>147</v>
      </c>
      <c r="G8" s="2" t="s">
        <v>12</v>
      </c>
      <c r="H8" s="73" t="s">
        <v>641</v>
      </c>
      <c r="I8" s="8" t="s">
        <v>768</v>
      </c>
      <c r="J8" s="8" t="s">
        <v>766</v>
      </c>
    </row>
    <row r="9" spans="1:10" ht="120" x14ac:dyDescent="0.25">
      <c r="A9" t="s">
        <v>739</v>
      </c>
      <c r="B9" s="58" t="s">
        <v>0</v>
      </c>
      <c r="C9" s="2" t="s">
        <v>187</v>
      </c>
      <c r="D9" s="8" t="s">
        <v>568</v>
      </c>
      <c r="E9" s="8" t="s">
        <v>510</v>
      </c>
      <c r="F9" s="8" t="s">
        <v>147</v>
      </c>
      <c r="G9" s="2" t="s">
        <v>13</v>
      </c>
      <c r="H9" s="73" t="s">
        <v>676</v>
      </c>
      <c r="I9" s="8" t="s">
        <v>768</v>
      </c>
      <c r="J9" s="8" t="s">
        <v>766</v>
      </c>
    </row>
    <row r="10" spans="1:10" ht="120" x14ac:dyDescent="0.25">
      <c r="A10" t="s">
        <v>740</v>
      </c>
      <c r="B10" s="58" t="s">
        <v>0</v>
      </c>
      <c r="C10" s="2" t="s">
        <v>187</v>
      </c>
      <c r="D10" s="8" t="s">
        <v>660</v>
      </c>
      <c r="E10" s="8" t="s">
        <v>656</v>
      </c>
      <c r="F10" s="8" t="s">
        <v>147</v>
      </c>
      <c r="G10" s="2" t="s">
        <v>24</v>
      </c>
      <c r="H10" s="73" t="s">
        <v>639</v>
      </c>
      <c r="I10" s="8" t="s">
        <v>768</v>
      </c>
      <c r="J10" s="8" t="s">
        <v>766</v>
      </c>
    </row>
    <row r="11" spans="1:10" ht="120" x14ac:dyDescent="0.25">
      <c r="A11" t="s">
        <v>696</v>
      </c>
      <c r="B11" s="58" t="s">
        <v>0</v>
      </c>
      <c r="C11" s="2" t="s">
        <v>582</v>
      </c>
      <c r="D11" s="8" t="s">
        <v>661</v>
      </c>
      <c r="E11" s="8" t="s">
        <v>543</v>
      </c>
      <c r="F11" s="8" t="s">
        <v>147</v>
      </c>
      <c r="G11" s="2" t="s">
        <v>399</v>
      </c>
      <c r="H11" s="73" t="s">
        <v>626</v>
      </c>
      <c r="I11" s="8" t="s">
        <v>768</v>
      </c>
      <c r="J11" s="8" t="s">
        <v>766</v>
      </c>
    </row>
    <row r="12" spans="1:10" ht="120" x14ac:dyDescent="0.25">
      <c r="A12" t="s">
        <v>697</v>
      </c>
      <c r="B12" s="58" t="s">
        <v>0</v>
      </c>
      <c r="C12" s="2" t="s">
        <v>204</v>
      </c>
      <c r="D12" s="8" t="s">
        <v>520</v>
      </c>
      <c r="E12" s="8" t="s">
        <v>642</v>
      </c>
      <c r="F12" s="8" t="s">
        <v>113</v>
      </c>
      <c r="G12" s="2" t="s">
        <v>685</v>
      </c>
      <c r="H12" s="65" t="s">
        <v>603</v>
      </c>
      <c r="I12" s="8" t="s">
        <v>768</v>
      </c>
      <c r="J12" s="8" t="s">
        <v>766</v>
      </c>
    </row>
    <row r="13" spans="1:10" ht="120" x14ac:dyDescent="0.25">
      <c r="A13" t="s">
        <v>699</v>
      </c>
      <c r="B13" s="59" t="s">
        <v>4</v>
      </c>
      <c r="C13" s="2" t="s">
        <v>573</v>
      </c>
      <c r="D13" s="8" t="s">
        <v>524</v>
      </c>
      <c r="E13" s="8" t="s">
        <v>371</v>
      </c>
      <c r="F13" s="8" t="s">
        <v>160</v>
      </c>
      <c r="G13" s="2" t="s">
        <v>770</v>
      </c>
      <c r="H13" s="73" t="s">
        <v>628</v>
      </c>
      <c r="I13" s="8" t="s">
        <v>768</v>
      </c>
      <c r="J13" s="8" t="s">
        <v>766</v>
      </c>
    </row>
    <row r="14" spans="1:10" ht="120" x14ac:dyDescent="0.25">
      <c r="A14" t="s">
        <v>700</v>
      </c>
      <c r="B14" s="59" t="s">
        <v>4</v>
      </c>
      <c r="C14" s="2" t="s">
        <v>573</v>
      </c>
      <c r="D14" s="8" t="s">
        <v>525</v>
      </c>
      <c r="E14" s="8" t="s">
        <v>368</v>
      </c>
      <c r="F14" s="8" t="s">
        <v>113</v>
      </c>
      <c r="G14" s="2" t="s">
        <v>685</v>
      </c>
      <c r="H14" s="73" t="s">
        <v>629</v>
      </c>
      <c r="I14" s="8" t="s">
        <v>768</v>
      </c>
      <c r="J14" s="8" t="s">
        <v>766</v>
      </c>
    </row>
    <row r="15" spans="1:10" ht="120" x14ac:dyDescent="0.25">
      <c r="A15" t="s">
        <v>701</v>
      </c>
      <c r="B15" s="59" t="s">
        <v>4</v>
      </c>
      <c r="C15" s="2" t="s">
        <v>573</v>
      </c>
      <c r="D15" s="8" t="s">
        <v>526</v>
      </c>
      <c r="E15" s="8" t="s">
        <v>587</v>
      </c>
      <c r="F15" s="8" t="s">
        <v>623</v>
      </c>
      <c r="G15" s="5" t="s">
        <v>686</v>
      </c>
      <c r="H15" s="70" t="s">
        <v>602</v>
      </c>
      <c r="I15" s="8" t="s">
        <v>768</v>
      </c>
      <c r="J15" s="8" t="s">
        <v>766</v>
      </c>
    </row>
    <row r="16" spans="1:10" ht="120" x14ac:dyDescent="0.25">
      <c r="A16" t="s">
        <v>702</v>
      </c>
      <c r="B16" s="59" t="s">
        <v>4</v>
      </c>
      <c r="C16" s="2" t="s">
        <v>573</v>
      </c>
      <c r="D16" s="8" t="s">
        <v>493</v>
      </c>
      <c r="E16" s="8" t="s">
        <v>369</v>
      </c>
      <c r="F16" s="8" t="s">
        <v>146</v>
      </c>
      <c r="G16" s="5" t="s">
        <v>151</v>
      </c>
      <c r="H16" s="73" t="s">
        <v>625</v>
      </c>
      <c r="I16" s="8" t="s">
        <v>768</v>
      </c>
      <c r="J16" s="8" t="s">
        <v>766</v>
      </c>
    </row>
    <row r="17" spans="1:10" ht="120" x14ac:dyDescent="0.25">
      <c r="A17" t="s">
        <v>703</v>
      </c>
      <c r="B17" s="59" t="s">
        <v>4</v>
      </c>
      <c r="C17" s="2" t="s">
        <v>574</v>
      </c>
      <c r="D17" s="8" t="s">
        <v>630</v>
      </c>
      <c r="E17" s="8" t="s">
        <v>631</v>
      </c>
      <c r="F17" s="8"/>
      <c r="G17" s="2" t="s">
        <v>685</v>
      </c>
      <c r="H17" s="73" t="s">
        <v>633</v>
      </c>
      <c r="I17" s="8" t="s">
        <v>768</v>
      </c>
      <c r="J17" s="8" t="s">
        <v>766</v>
      </c>
    </row>
    <row r="18" spans="1:10" ht="120" x14ac:dyDescent="0.25">
      <c r="A18" t="s">
        <v>704</v>
      </c>
      <c r="B18" s="59" t="s">
        <v>4</v>
      </c>
      <c r="C18" s="2" t="s">
        <v>501</v>
      </c>
      <c r="D18" s="8" t="s">
        <v>662</v>
      </c>
      <c r="E18" s="8" t="s">
        <v>597</v>
      </c>
      <c r="F18" s="8" t="s">
        <v>151</v>
      </c>
      <c r="G18" s="5" t="s">
        <v>596</v>
      </c>
      <c r="H18" s="70" t="s">
        <v>602</v>
      </c>
      <c r="I18" s="8" t="s">
        <v>768</v>
      </c>
      <c r="J18" s="8" t="s">
        <v>766</v>
      </c>
    </row>
    <row r="19" spans="1:10" ht="120" x14ac:dyDescent="0.25">
      <c r="A19" t="s">
        <v>705</v>
      </c>
      <c r="B19" s="59" t="s">
        <v>4</v>
      </c>
      <c r="C19" s="2" t="s">
        <v>501</v>
      </c>
      <c r="D19" s="8" t="s">
        <v>663</v>
      </c>
      <c r="E19" s="8" t="s">
        <v>643</v>
      </c>
      <c r="F19" s="8" t="s">
        <v>113</v>
      </c>
      <c r="G19" s="2" t="s">
        <v>399</v>
      </c>
      <c r="H19" s="73" t="s">
        <v>626</v>
      </c>
      <c r="I19" s="8" t="s">
        <v>768</v>
      </c>
      <c r="J19" s="8" t="s">
        <v>766</v>
      </c>
    </row>
    <row r="20" spans="1:10" ht="120" x14ac:dyDescent="0.25">
      <c r="A20" t="s">
        <v>706</v>
      </c>
      <c r="B20" s="59" t="s">
        <v>4</v>
      </c>
      <c r="C20" s="2" t="s">
        <v>575</v>
      </c>
      <c r="D20" s="8" t="s">
        <v>664</v>
      </c>
      <c r="E20" s="56" t="s">
        <v>650</v>
      </c>
      <c r="F20" s="8"/>
      <c r="G20" s="5" t="s">
        <v>151</v>
      </c>
      <c r="H20" s="2"/>
      <c r="I20" s="8" t="s">
        <v>768</v>
      </c>
      <c r="J20" s="8" t="s">
        <v>766</v>
      </c>
    </row>
    <row r="21" spans="1:10" ht="105" x14ac:dyDescent="0.25">
      <c r="A21" t="s">
        <v>707</v>
      </c>
      <c r="B21" s="84" t="s">
        <v>5</v>
      </c>
      <c r="C21" s="2" t="s">
        <v>502</v>
      </c>
      <c r="D21" s="8" t="s">
        <v>665</v>
      </c>
      <c r="E21" s="8" t="s">
        <v>376</v>
      </c>
      <c r="F21" s="8" t="s">
        <v>143</v>
      </c>
      <c r="G21" s="20" t="s">
        <v>772</v>
      </c>
      <c r="H21" s="73" t="s">
        <v>634</v>
      </c>
      <c r="I21" s="8" t="s">
        <v>764</v>
      </c>
      <c r="J21" s="8" t="s">
        <v>766</v>
      </c>
    </row>
    <row r="22" spans="1:10" ht="120" x14ac:dyDescent="0.25">
      <c r="A22" t="s">
        <v>708</v>
      </c>
      <c r="B22" s="84" t="s">
        <v>5</v>
      </c>
      <c r="C22" s="2" t="s">
        <v>502</v>
      </c>
      <c r="D22" s="8" t="s">
        <v>666</v>
      </c>
      <c r="E22" s="8" t="s">
        <v>571</v>
      </c>
      <c r="F22" s="8"/>
      <c r="G22" s="2" t="s">
        <v>685</v>
      </c>
      <c r="H22" s="66" t="s">
        <v>604</v>
      </c>
      <c r="I22" s="8" t="s">
        <v>768</v>
      </c>
      <c r="J22" s="8" t="s">
        <v>766</v>
      </c>
    </row>
    <row r="23" spans="1:10" ht="120" x14ac:dyDescent="0.25">
      <c r="A23" t="s">
        <v>709</v>
      </c>
      <c r="B23" s="84" t="s">
        <v>5</v>
      </c>
      <c r="C23" s="2" t="s">
        <v>502</v>
      </c>
      <c r="D23" s="8" t="s">
        <v>741</v>
      </c>
      <c r="E23" s="8" t="s">
        <v>644</v>
      </c>
      <c r="F23" s="8"/>
      <c r="G23" s="2" t="s">
        <v>685</v>
      </c>
      <c r="H23" s="70" t="s">
        <v>602</v>
      </c>
      <c r="I23" s="8" t="s">
        <v>768</v>
      </c>
      <c r="J23" s="8" t="s">
        <v>766</v>
      </c>
    </row>
    <row r="24" spans="1:10" ht="120" x14ac:dyDescent="0.25">
      <c r="A24" t="s">
        <v>710</v>
      </c>
      <c r="B24" s="84" t="s">
        <v>5</v>
      </c>
      <c r="C24" s="2" t="s">
        <v>502</v>
      </c>
      <c r="D24" s="8" t="s">
        <v>681</v>
      </c>
      <c r="E24" s="8" t="s">
        <v>556</v>
      </c>
      <c r="F24" s="8"/>
      <c r="G24" s="2" t="s">
        <v>569</v>
      </c>
      <c r="H24" s="66" t="s">
        <v>598</v>
      </c>
      <c r="I24" s="8" t="s">
        <v>768</v>
      </c>
      <c r="J24" s="8" t="s">
        <v>766</v>
      </c>
    </row>
    <row r="25" spans="1:10" ht="120" x14ac:dyDescent="0.25">
      <c r="A25" t="s">
        <v>711</v>
      </c>
      <c r="B25" s="84" t="s">
        <v>5</v>
      </c>
      <c r="C25" s="2" t="s">
        <v>502</v>
      </c>
      <c r="D25" s="8" t="s">
        <v>667</v>
      </c>
      <c r="E25" s="8" t="s">
        <v>610</v>
      </c>
      <c r="F25" s="8"/>
      <c r="G25" s="2" t="s">
        <v>15</v>
      </c>
      <c r="H25" s="73" t="s">
        <v>625</v>
      </c>
      <c r="I25" s="8" t="s">
        <v>768</v>
      </c>
      <c r="J25" s="8" t="s">
        <v>766</v>
      </c>
    </row>
    <row r="26" spans="1:10" ht="120" x14ac:dyDescent="0.25">
      <c r="A26" t="s">
        <v>712</v>
      </c>
      <c r="B26" s="84" t="s">
        <v>5</v>
      </c>
      <c r="C26" s="2" t="s">
        <v>205</v>
      </c>
      <c r="D26" s="8" t="s">
        <v>668</v>
      </c>
      <c r="E26" s="8" t="s">
        <v>611</v>
      </c>
      <c r="F26" s="20" t="s">
        <v>144</v>
      </c>
      <c r="G26" s="2" t="s">
        <v>15</v>
      </c>
      <c r="H26" s="73" t="s">
        <v>625</v>
      </c>
      <c r="I26" s="8" t="s">
        <v>768</v>
      </c>
      <c r="J26" s="8" t="s">
        <v>766</v>
      </c>
    </row>
    <row r="27" spans="1:10" ht="120" x14ac:dyDescent="0.25">
      <c r="A27" t="s">
        <v>713</v>
      </c>
      <c r="B27" s="60" t="s">
        <v>6</v>
      </c>
      <c r="C27" s="2" t="s">
        <v>576</v>
      </c>
      <c r="D27" s="8" t="s">
        <v>669</v>
      </c>
      <c r="E27" s="8" t="s">
        <v>616</v>
      </c>
      <c r="F27" s="8" t="s">
        <v>168</v>
      </c>
      <c r="G27" s="2" t="s">
        <v>15</v>
      </c>
      <c r="H27" s="66" t="s">
        <v>604</v>
      </c>
      <c r="I27" s="8" t="s">
        <v>768</v>
      </c>
      <c r="J27" s="8" t="s">
        <v>766</v>
      </c>
    </row>
    <row r="28" spans="1:10" ht="120" x14ac:dyDescent="0.25">
      <c r="A28" t="s">
        <v>720</v>
      </c>
      <c r="B28" s="60" t="s">
        <v>6</v>
      </c>
      <c r="C28" s="2" t="s">
        <v>576</v>
      </c>
      <c r="D28" s="8" t="s">
        <v>670</v>
      </c>
      <c r="E28" s="8" t="s">
        <v>617</v>
      </c>
      <c r="F28" s="8" t="s">
        <v>168</v>
      </c>
      <c r="G28" s="2" t="s">
        <v>15</v>
      </c>
      <c r="H28" s="66" t="s">
        <v>604</v>
      </c>
      <c r="I28" s="8" t="s">
        <v>768</v>
      </c>
      <c r="J28" s="8" t="s">
        <v>766</v>
      </c>
    </row>
    <row r="29" spans="1:10" ht="120" x14ac:dyDescent="0.25">
      <c r="A29" t="s">
        <v>714</v>
      </c>
      <c r="B29" s="60" t="s">
        <v>6</v>
      </c>
      <c r="C29" s="57" t="s">
        <v>570</v>
      </c>
      <c r="D29" s="8" t="s">
        <v>561</v>
      </c>
      <c r="E29" s="8" t="s">
        <v>409</v>
      </c>
      <c r="F29" s="8" t="s">
        <v>113</v>
      </c>
      <c r="G29" s="2" t="s">
        <v>15</v>
      </c>
      <c r="H29" s="70" t="s">
        <v>609</v>
      </c>
      <c r="I29" s="8" t="s">
        <v>768</v>
      </c>
      <c r="J29" s="8" t="s">
        <v>766</v>
      </c>
    </row>
    <row r="30" spans="1:10" ht="120" x14ac:dyDescent="0.25">
      <c r="A30" t="s">
        <v>721</v>
      </c>
      <c r="B30" s="60" t="s">
        <v>6</v>
      </c>
      <c r="C30" s="2" t="s">
        <v>318</v>
      </c>
      <c r="D30" s="8" t="s">
        <v>410</v>
      </c>
      <c r="E30" s="8" t="s">
        <v>646</v>
      </c>
      <c r="F30" s="8" t="s">
        <v>168</v>
      </c>
      <c r="G30" s="3" t="s">
        <v>151</v>
      </c>
      <c r="H30" s="66" t="s">
        <v>608</v>
      </c>
      <c r="I30" s="8" t="s">
        <v>768</v>
      </c>
      <c r="J30" s="8" t="s">
        <v>766</v>
      </c>
    </row>
    <row r="31" spans="1:10" ht="120" x14ac:dyDescent="0.25">
      <c r="A31" t="s">
        <v>722</v>
      </c>
      <c r="B31" s="60" t="s">
        <v>6</v>
      </c>
      <c r="C31" s="2" t="s">
        <v>318</v>
      </c>
      <c r="D31" s="8" t="s">
        <v>671</v>
      </c>
      <c r="E31" s="8" t="s">
        <v>745</v>
      </c>
      <c r="F31" s="8" t="s">
        <v>168</v>
      </c>
      <c r="G31" s="3" t="s">
        <v>151</v>
      </c>
      <c r="H31" s="66" t="s">
        <v>608</v>
      </c>
      <c r="I31" s="8" t="s">
        <v>768</v>
      </c>
      <c r="J31" s="8" t="s">
        <v>766</v>
      </c>
    </row>
    <row r="32" spans="1:10" ht="120" x14ac:dyDescent="0.25">
      <c r="A32" t="s">
        <v>723</v>
      </c>
      <c r="B32" s="60" t="s">
        <v>6</v>
      </c>
      <c r="C32" s="57" t="s">
        <v>570</v>
      </c>
      <c r="D32" s="8" t="s">
        <v>563</v>
      </c>
      <c r="E32" s="8" t="s">
        <v>382</v>
      </c>
      <c r="F32" s="8" t="s">
        <v>145</v>
      </c>
      <c r="G32" s="2" t="s">
        <v>771</v>
      </c>
      <c r="H32" s="66" t="s">
        <v>604</v>
      </c>
      <c r="I32" s="8" t="s">
        <v>768</v>
      </c>
      <c r="J32" s="8" t="s">
        <v>766</v>
      </c>
    </row>
    <row r="33" spans="1:10" ht="120" x14ac:dyDescent="0.25">
      <c r="A33" t="s">
        <v>724</v>
      </c>
      <c r="B33" s="60" t="s">
        <v>6</v>
      </c>
      <c r="C33" s="2" t="s">
        <v>318</v>
      </c>
      <c r="D33" s="8" t="s">
        <v>413</v>
      </c>
      <c r="E33" s="8" t="s">
        <v>381</v>
      </c>
      <c r="F33" s="8"/>
      <c r="G33" s="3" t="s">
        <v>151</v>
      </c>
      <c r="H33" s="66" t="s">
        <v>608</v>
      </c>
      <c r="I33" s="8" t="s">
        <v>768</v>
      </c>
      <c r="J33" s="8" t="s">
        <v>766</v>
      </c>
    </row>
    <row r="34" spans="1:10" ht="120" x14ac:dyDescent="0.25">
      <c r="A34" t="s">
        <v>715</v>
      </c>
      <c r="B34" s="60" t="s">
        <v>6</v>
      </c>
      <c r="C34" s="2" t="s">
        <v>192</v>
      </c>
      <c r="D34" s="8" t="s">
        <v>765</v>
      </c>
      <c r="E34" s="8" t="s">
        <v>383</v>
      </c>
      <c r="F34" s="8" t="s">
        <v>113</v>
      </c>
      <c r="G34" s="2" t="s">
        <v>171</v>
      </c>
      <c r="H34" s="66" t="s">
        <v>604</v>
      </c>
      <c r="I34" s="8" t="s">
        <v>768</v>
      </c>
      <c r="J34" s="8" t="s">
        <v>766</v>
      </c>
    </row>
    <row r="35" spans="1:10" ht="120" x14ac:dyDescent="0.25">
      <c r="A35" t="s">
        <v>716</v>
      </c>
      <c r="B35" s="60" t="s">
        <v>6</v>
      </c>
      <c r="C35" s="2" t="s">
        <v>577</v>
      </c>
      <c r="D35" s="8" t="s">
        <v>672</v>
      </c>
      <c r="E35" s="8" t="s">
        <v>635</v>
      </c>
      <c r="F35" s="8" t="s">
        <v>636</v>
      </c>
      <c r="G35" s="2" t="s">
        <v>399</v>
      </c>
      <c r="H35" s="73" t="s">
        <v>634</v>
      </c>
      <c r="I35" s="8" t="s">
        <v>768</v>
      </c>
      <c r="J35" s="8" t="s">
        <v>766</v>
      </c>
    </row>
    <row r="36" spans="1:10" ht="120" x14ac:dyDescent="0.25">
      <c r="A36" t="s">
        <v>725</v>
      </c>
      <c r="B36" s="60" t="s">
        <v>6</v>
      </c>
      <c r="C36" s="2" t="s">
        <v>577</v>
      </c>
      <c r="D36" s="8" t="s">
        <v>673</v>
      </c>
      <c r="E36" s="8" t="s">
        <v>637</v>
      </c>
      <c r="F36" s="8" t="s">
        <v>636</v>
      </c>
      <c r="G36" s="2" t="s">
        <v>399</v>
      </c>
      <c r="H36" s="73" t="s">
        <v>634</v>
      </c>
      <c r="I36" s="8" t="s">
        <v>768</v>
      </c>
      <c r="J36" s="8" t="s">
        <v>766</v>
      </c>
    </row>
    <row r="37" spans="1:10" ht="120" x14ac:dyDescent="0.25">
      <c r="A37" t="s">
        <v>717</v>
      </c>
      <c r="B37" s="61" t="s">
        <v>7</v>
      </c>
      <c r="C37" s="2" t="s">
        <v>579</v>
      </c>
      <c r="D37" s="8" t="s">
        <v>674</v>
      </c>
      <c r="E37" s="8" t="s">
        <v>600</v>
      </c>
      <c r="F37" s="8" t="s">
        <v>147</v>
      </c>
      <c r="G37" s="5" t="s">
        <v>151</v>
      </c>
      <c r="H37" s="66" t="s">
        <v>605</v>
      </c>
      <c r="I37" s="8" t="s">
        <v>768</v>
      </c>
      <c r="J37" s="8" t="s">
        <v>766</v>
      </c>
    </row>
    <row r="38" spans="1:10" ht="120" x14ac:dyDescent="0.25">
      <c r="A38" t="s">
        <v>718</v>
      </c>
      <c r="B38" s="61" t="s">
        <v>7</v>
      </c>
      <c r="C38" s="2" t="s">
        <v>540</v>
      </c>
      <c r="D38" s="8" t="s">
        <v>588</v>
      </c>
      <c r="E38" s="8" t="s">
        <v>638</v>
      </c>
      <c r="F38" s="8" t="s">
        <v>113</v>
      </c>
      <c r="G38" s="63" t="s">
        <v>15</v>
      </c>
      <c r="H38" s="73" t="s">
        <v>640</v>
      </c>
      <c r="I38" s="8" t="s">
        <v>768</v>
      </c>
      <c r="J38" s="8" t="s">
        <v>766</v>
      </c>
    </row>
    <row r="39" spans="1:10" ht="120" x14ac:dyDescent="0.25">
      <c r="A39" t="s">
        <v>726</v>
      </c>
      <c r="B39" s="61" t="s">
        <v>7</v>
      </c>
      <c r="C39" s="2" t="s">
        <v>540</v>
      </c>
      <c r="D39" s="8" t="s">
        <v>590</v>
      </c>
      <c r="E39" s="8" t="s">
        <v>414</v>
      </c>
      <c r="F39" s="8"/>
      <c r="G39" s="2" t="s">
        <v>759</v>
      </c>
      <c r="H39" s="70" t="s">
        <v>602</v>
      </c>
      <c r="I39" s="8" t="s">
        <v>768</v>
      </c>
      <c r="J39" s="8" t="s">
        <v>766</v>
      </c>
    </row>
    <row r="40" spans="1:10" ht="120" x14ac:dyDescent="0.25">
      <c r="A40" t="s">
        <v>719</v>
      </c>
      <c r="B40" s="61" t="s">
        <v>7</v>
      </c>
      <c r="C40" s="2" t="s">
        <v>540</v>
      </c>
      <c r="D40" s="8" t="s">
        <v>675</v>
      </c>
      <c r="E40" s="8" t="s">
        <v>385</v>
      </c>
      <c r="F40" s="8" t="s">
        <v>143</v>
      </c>
      <c r="G40" s="2" t="s">
        <v>758</v>
      </c>
      <c r="H40" s="66" t="s">
        <v>490</v>
      </c>
      <c r="I40" s="8" t="s">
        <v>768</v>
      </c>
      <c r="J40" s="8" t="s">
        <v>766</v>
      </c>
    </row>
    <row r="41" spans="1:10" ht="120" x14ac:dyDescent="0.25">
      <c r="A41" t="s">
        <v>727</v>
      </c>
      <c r="B41" s="61" t="s">
        <v>7</v>
      </c>
      <c r="C41" s="2" t="s">
        <v>540</v>
      </c>
      <c r="D41" s="5" t="s">
        <v>584</v>
      </c>
      <c r="E41" s="51" t="s">
        <v>767</v>
      </c>
      <c r="F41" s="5"/>
      <c r="G41" s="5" t="s">
        <v>152</v>
      </c>
      <c r="H41" s="70" t="s">
        <v>602</v>
      </c>
      <c r="I41" s="8" t="s">
        <v>768</v>
      </c>
      <c r="J41" s="8" t="s">
        <v>766</v>
      </c>
    </row>
  </sheetData>
  <autoFilter ref="A1:H41" xr:uid="{AF0461F5-5522-4400-ADC3-010F7ED92A5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heetViews>
  <sheetFormatPr defaultRowHeight="15" x14ac:dyDescent="0.25"/>
  <sheetData>
    <row r="1" spans="1:3" x14ac:dyDescent="0.25">
      <c r="A1" s="52" t="s">
        <v>729</v>
      </c>
      <c r="B1" s="52" t="s">
        <v>748</v>
      </c>
      <c r="C1" s="52" t="s">
        <v>749</v>
      </c>
    </row>
    <row r="2" spans="1:3" x14ac:dyDescent="0.25">
      <c r="A2" s="58" t="s">
        <v>690</v>
      </c>
      <c r="B2" s="58" t="s">
        <v>0</v>
      </c>
      <c r="C2" s="58">
        <v>1</v>
      </c>
    </row>
    <row r="3" spans="1:3" x14ac:dyDescent="0.25">
      <c r="A3" s="58" t="s">
        <v>692</v>
      </c>
      <c r="B3" s="58" t="s">
        <v>0</v>
      </c>
      <c r="C3" s="58">
        <v>1</v>
      </c>
    </row>
    <row r="4" spans="1:3" x14ac:dyDescent="0.25">
      <c r="A4" s="58" t="s">
        <v>691</v>
      </c>
      <c r="B4" s="58" t="s">
        <v>0</v>
      </c>
      <c r="C4" s="58">
        <v>1</v>
      </c>
    </row>
    <row r="5" spans="1:3" x14ac:dyDescent="0.25">
      <c r="A5" s="58" t="s">
        <v>693</v>
      </c>
      <c r="B5" s="58" t="s">
        <v>0</v>
      </c>
      <c r="C5" s="58">
        <v>2</v>
      </c>
    </row>
    <row r="6" spans="1:3" x14ac:dyDescent="0.25">
      <c r="A6" s="58" t="s">
        <v>694</v>
      </c>
      <c r="B6" s="58" t="s">
        <v>0</v>
      </c>
      <c r="C6" s="58">
        <v>3</v>
      </c>
    </row>
    <row r="7" spans="1:3" x14ac:dyDescent="0.25">
      <c r="A7" s="58" t="s">
        <v>695</v>
      </c>
      <c r="B7" s="58" t="s">
        <v>0</v>
      </c>
      <c r="C7" s="58">
        <v>3</v>
      </c>
    </row>
    <row r="8" spans="1:3" x14ac:dyDescent="0.25">
      <c r="A8" s="58" t="s">
        <v>698</v>
      </c>
      <c r="B8" s="58" t="s">
        <v>0</v>
      </c>
      <c r="C8" s="58">
        <v>3</v>
      </c>
    </row>
    <row r="9" spans="1:3" x14ac:dyDescent="0.25">
      <c r="A9" s="58" t="s">
        <v>739</v>
      </c>
      <c r="B9" s="58" t="s">
        <v>0</v>
      </c>
      <c r="C9" s="58">
        <v>3</v>
      </c>
    </row>
    <row r="10" spans="1:3" x14ac:dyDescent="0.25">
      <c r="A10" s="58" t="s">
        <v>740</v>
      </c>
      <c r="B10" s="58" t="s">
        <v>0</v>
      </c>
      <c r="C10" s="58">
        <v>3</v>
      </c>
    </row>
    <row r="11" spans="1:3" x14ac:dyDescent="0.25">
      <c r="A11" s="58" t="s">
        <v>696</v>
      </c>
      <c r="B11" s="58" t="s">
        <v>0</v>
      </c>
      <c r="C11" s="58">
        <v>4</v>
      </c>
    </row>
    <row r="12" spans="1:3" x14ac:dyDescent="0.25">
      <c r="A12" s="58" t="s">
        <v>697</v>
      </c>
      <c r="B12" s="58" t="s">
        <v>0</v>
      </c>
      <c r="C12" s="58">
        <v>5</v>
      </c>
    </row>
    <row r="13" spans="1:3" x14ac:dyDescent="0.25">
      <c r="A13" s="59" t="s">
        <v>699</v>
      </c>
      <c r="B13" s="59" t="s">
        <v>4</v>
      </c>
      <c r="C13" s="59">
        <v>6</v>
      </c>
    </row>
    <row r="14" spans="1:3" x14ac:dyDescent="0.25">
      <c r="A14" s="59" t="s">
        <v>700</v>
      </c>
      <c r="B14" s="59" t="s">
        <v>4</v>
      </c>
      <c r="C14" s="59">
        <v>6</v>
      </c>
    </row>
    <row r="15" spans="1:3" x14ac:dyDescent="0.25">
      <c r="A15" s="59" t="s">
        <v>701</v>
      </c>
      <c r="B15" s="59" t="s">
        <v>4</v>
      </c>
      <c r="C15" s="59">
        <v>6</v>
      </c>
    </row>
    <row r="16" spans="1:3" x14ac:dyDescent="0.25">
      <c r="A16" s="59" t="s">
        <v>702</v>
      </c>
      <c r="B16" s="59" t="s">
        <v>4</v>
      </c>
      <c r="C16" s="59">
        <v>6</v>
      </c>
    </row>
    <row r="17" spans="1:3" x14ac:dyDescent="0.25">
      <c r="A17" s="59" t="s">
        <v>703</v>
      </c>
      <c r="B17" s="59" t="s">
        <v>4</v>
      </c>
      <c r="C17" s="59">
        <v>7</v>
      </c>
    </row>
    <row r="18" spans="1:3" x14ac:dyDescent="0.25">
      <c r="A18" s="59" t="s">
        <v>704</v>
      </c>
      <c r="B18" s="59" t="s">
        <v>4</v>
      </c>
      <c r="C18" s="59">
        <v>8</v>
      </c>
    </row>
    <row r="19" spans="1:3" x14ac:dyDescent="0.25">
      <c r="A19" s="59" t="s">
        <v>705</v>
      </c>
      <c r="B19" s="59" t="s">
        <v>4</v>
      </c>
      <c r="C19" s="59">
        <v>8</v>
      </c>
    </row>
    <row r="20" spans="1:3" x14ac:dyDescent="0.25">
      <c r="A20" s="59" t="s">
        <v>706</v>
      </c>
      <c r="B20" s="59" t="s">
        <v>4</v>
      </c>
      <c r="C20" s="59">
        <v>9</v>
      </c>
    </row>
    <row r="21" spans="1:3" x14ac:dyDescent="0.25">
      <c r="A21" s="93" t="s">
        <v>707</v>
      </c>
      <c r="B21" s="93" t="s">
        <v>5</v>
      </c>
      <c r="C21" s="93">
        <v>10</v>
      </c>
    </row>
    <row r="22" spans="1:3" x14ac:dyDescent="0.25">
      <c r="A22" s="93" t="s">
        <v>708</v>
      </c>
      <c r="B22" s="93" t="s">
        <v>5</v>
      </c>
      <c r="C22" s="93">
        <v>10</v>
      </c>
    </row>
    <row r="23" spans="1:3" x14ac:dyDescent="0.25">
      <c r="A23" s="93" t="s">
        <v>709</v>
      </c>
      <c r="B23" s="93" t="s">
        <v>5</v>
      </c>
      <c r="C23" s="93">
        <v>10</v>
      </c>
    </row>
    <row r="24" spans="1:3" x14ac:dyDescent="0.25">
      <c r="A24" s="93" t="s">
        <v>710</v>
      </c>
      <c r="B24" s="93" t="s">
        <v>5</v>
      </c>
      <c r="C24" s="93">
        <v>11</v>
      </c>
    </row>
    <row r="25" spans="1:3" x14ac:dyDescent="0.25">
      <c r="A25" s="93" t="s">
        <v>711</v>
      </c>
      <c r="B25" s="93" t="s">
        <v>5</v>
      </c>
      <c r="C25" s="93">
        <v>11</v>
      </c>
    </row>
    <row r="26" spans="1:3" x14ac:dyDescent="0.25">
      <c r="A26" s="93" t="s">
        <v>712</v>
      </c>
      <c r="B26" s="93" t="s">
        <v>5</v>
      </c>
      <c r="C26" s="93">
        <v>12</v>
      </c>
    </row>
    <row r="27" spans="1:3" x14ac:dyDescent="0.25">
      <c r="A27" s="60" t="s">
        <v>713</v>
      </c>
      <c r="B27" s="60" t="s">
        <v>6</v>
      </c>
      <c r="C27" s="60">
        <v>13</v>
      </c>
    </row>
    <row r="28" spans="1:3" x14ac:dyDescent="0.25">
      <c r="A28" s="60" t="s">
        <v>720</v>
      </c>
      <c r="B28" s="60" t="s">
        <v>6</v>
      </c>
      <c r="C28" s="60">
        <v>13</v>
      </c>
    </row>
    <row r="29" spans="1:3" x14ac:dyDescent="0.25">
      <c r="A29" s="60" t="s">
        <v>714</v>
      </c>
      <c r="B29" s="60" t="s">
        <v>6</v>
      </c>
      <c r="C29" s="60">
        <v>14</v>
      </c>
    </row>
    <row r="30" spans="1:3" x14ac:dyDescent="0.25">
      <c r="A30" s="60" t="s">
        <v>721</v>
      </c>
      <c r="B30" s="60" t="s">
        <v>6</v>
      </c>
      <c r="C30" s="60">
        <v>14</v>
      </c>
    </row>
    <row r="31" spans="1:3" x14ac:dyDescent="0.25">
      <c r="A31" s="60" t="s">
        <v>722</v>
      </c>
      <c r="B31" s="60" t="s">
        <v>6</v>
      </c>
      <c r="C31" s="60">
        <v>14</v>
      </c>
    </row>
    <row r="32" spans="1:3" x14ac:dyDescent="0.25">
      <c r="A32" s="60" t="s">
        <v>723</v>
      </c>
      <c r="B32" s="60" t="s">
        <v>6</v>
      </c>
      <c r="C32" s="60">
        <v>14</v>
      </c>
    </row>
    <row r="33" spans="1:3" x14ac:dyDescent="0.25">
      <c r="A33" s="60" t="s">
        <v>724</v>
      </c>
      <c r="B33" s="60" t="s">
        <v>6</v>
      </c>
      <c r="C33" s="60">
        <v>14</v>
      </c>
    </row>
    <row r="34" spans="1:3" x14ac:dyDescent="0.25">
      <c r="A34" s="60" t="s">
        <v>715</v>
      </c>
      <c r="B34" s="60" t="s">
        <v>6</v>
      </c>
      <c r="C34" s="60">
        <v>15</v>
      </c>
    </row>
    <row r="35" spans="1:3" x14ac:dyDescent="0.25">
      <c r="A35" s="60" t="s">
        <v>716</v>
      </c>
      <c r="B35" s="60" t="s">
        <v>6</v>
      </c>
      <c r="C35" s="60">
        <v>16</v>
      </c>
    </row>
    <row r="36" spans="1:3" x14ac:dyDescent="0.25">
      <c r="A36" s="60" t="s">
        <v>725</v>
      </c>
      <c r="B36" s="60" t="s">
        <v>6</v>
      </c>
      <c r="C36" s="60">
        <v>16</v>
      </c>
    </row>
    <row r="37" spans="1:3" x14ac:dyDescent="0.25">
      <c r="A37" s="61" t="s">
        <v>717</v>
      </c>
      <c r="B37" s="61" t="s">
        <v>7</v>
      </c>
      <c r="C37" s="61">
        <v>18</v>
      </c>
    </row>
    <row r="38" spans="1:3" x14ac:dyDescent="0.25">
      <c r="A38" s="61" t="s">
        <v>718</v>
      </c>
      <c r="B38" s="61" t="s">
        <v>7</v>
      </c>
      <c r="C38" s="61">
        <v>19</v>
      </c>
    </row>
    <row r="39" spans="1:3" x14ac:dyDescent="0.25">
      <c r="A39" s="61" t="s">
        <v>726</v>
      </c>
      <c r="B39" s="61" t="s">
        <v>7</v>
      </c>
      <c r="C39" s="61">
        <v>20</v>
      </c>
    </row>
    <row r="40" spans="1:3" x14ac:dyDescent="0.25">
      <c r="A40" s="61" t="s">
        <v>719</v>
      </c>
      <c r="B40" s="61" t="s">
        <v>7</v>
      </c>
      <c r="C40" s="61">
        <v>20</v>
      </c>
    </row>
    <row r="41" spans="1:3" x14ac:dyDescent="0.25">
      <c r="A41" s="61" t="s">
        <v>727</v>
      </c>
      <c r="B41" s="61" t="s">
        <v>7</v>
      </c>
      <c r="C41" s="61">
        <v>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workbookViewId="0"/>
  </sheetViews>
  <sheetFormatPr defaultRowHeight="15" x14ac:dyDescent="0.25"/>
  <cols>
    <col min="2" max="2" width="36.140625" customWidth="1"/>
    <col min="3" max="3" width="57.5703125" customWidth="1"/>
  </cols>
  <sheetData>
    <row r="1" spans="1:3" x14ac:dyDescent="0.25">
      <c r="A1" s="52" t="s">
        <v>427</v>
      </c>
      <c r="B1" s="52" t="s">
        <v>101</v>
      </c>
      <c r="C1" s="52" t="s">
        <v>601</v>
      </c>
    </row>
    <row r="2" spans="1:3" ht="30" x14ac:dyDescent="0.25">
      <c r="A2" s="58">
        <v>1</v>
      </c>
      <c r="B2" s="2" t="s">
        <v>102</v>
      </c>
      <c r="C2" s="2" t="s">
        <v>103</v>
      </c>
    </row>
    <row r="3" spans="1:3" ht="45" x14ac:dyDescent="0.25">
      <c r="A3" s="58">
        <v>2</v>
      </c>
      <c r="B3" s="2" t="s">
        <v>104</v>
      </c>
      <c r="C3" s="2" t="s">
        <v>105</v>
      </c>
    </row>
    <row r="4" spans="1:3" ht="45" x14ac:dyDescent="0.25">
      <c r="A4" s="58">
        <v>3</v>
      </c>
      <c r="B4" s="2" t="s">
        <v>106</v>
      </c>
      <c r="C4" s="2" t="s">
        <v>107</v>
      </c>
    </row>
    <row r="5" spans="1:3" ht="30" x14ac:dyDescent="0.25">
      <c r="A5" s="58">
        <v>4</v>
      </c>
      <c r="B5" s="2" t="s">
        <v>109</v>
      </c>
      <c r="C5" s="2" t="s">
        <v>110</v>
      </c>
    </row>
    <row r="6" spans="1:3" ht="30" x14ac:dyDescent="0.25">
      <c r="A6" s="58">
        <v>5</v>
      </c>
      <c r="B6" s="2" t="s">
        <v>111</v>
      </c>
      <c r="C6" s="2" t="s">
        <v>112</v>
      </c>
    </row>
    <row r="7" spans="1:3" ht="45" x14ac:dyDescent="0.25">
      <c r="A7" s="59">
        <v>6</v>
      </c>
      <c r="B7" s="5" t="s">
        <v>115</v>
      </c>
      <c r="C7" s="2" t="s">
        <v>116</v>
      </c>
    </row>
    <row r="8" spans="1:3" ht="30" x14ac:dyDescent="0.25">
      <c r="A8" s="59">
        <v>7</v>
      </c>
      <c r="B8" s="2" t="s">
        <v>117</v>
      </c>
      <c r="C8" s="2" t="s">
        <v>118</v>
      </c>
    </row>
    <row r="9" spans="1:3" ht="45" x14ac:dyDescent="0.25">
      <c r="A9" s="59">
        <v>8</v>
      </c>
      <c r="B9" s="2" t="s">
        <v>119</v>
      </c>
      <c r="C9" s="2" t="s">
        <v>687</v>
      </c>
    </row>
    <row r="10" spans="1:3" ht="30" x14ac:dyDescent="0.25">
      <c r="A10" s="59">
        <v>9</v>
      </c>
      <c r="B10" s="2" t="s">
        <v>121</v>
      </c>
      <c r="C10" s="2" t="s">
        <v>122</v>
      </c>
    </row>
    <row r="11" spans="1:3" ht="30" x14ac:dyDescent="0.25">
      <c r="A11" s="84">
        <v>10</v>
      </c>
      <c r="B11" s="2" t="s">
        <v>123</v>
      </c>
      <c r="C11" s="2" t="s">
        <v>124</v>
      </c>
    </row>
    <row r="12" spans="1:3" ht="45" x14ac:dyDescent="0.25">
      <c r="A12" s="84">
        <v>11</v>
      </c>
      <c r="B12" s="2" t="s">
        <v>125</v>
      </c>
      <c r="C12" s="2" t="s">
        <v>126</v>
      </c>
    </row>
    <row r="13" spans="1:3" ht="30" x14ac:dyDescent="0.25">
      <c r="A13" s="84">
        <v>12</v>
      </c>
      <c r="B13" s="2" t="s">
        <v>127</v>
      </c>
      <c r="C13" s="2" t="s">
        <v>122</v>
      </c>
    </row>
    <row r="14" spans="1:3" ht="30" x14ac:dyDescent="0.25">
      <c r="A14" s="60">
        <v>13</v>
      </c>
      <c r="B14" s="2" t="s">
        <v>128</v>
      </c>
      <c r="C14" s="2" t="s">
        <v>129</v>
      </c>
    </row>
    <row r="15" spans="1:3" ht="30" x14ac:dyDescent="0.25">
      <c r="A15" s="60">
        <v>14</v>
      </c>
      <c r="B15" s="2" t="s">
        <v>130</v>
      </c>
      <c r="C15" s="2" t="s">
        <v>131</v>
      </c>
    </row>
    <row r="16" spans="1:3" ht="30" x14ac:dyDescent="0.25">
      <c r="A16" s="60">
        <v>15</v>
      </c>
      <c r="B16" s="2" t="s">
        <v>132</v>
      </c>
      <c r="C16" s="2" t="s">
        <v>133</v>
      </c>
    </row>
    <row r="17" spans="1:3" ht="45" x14ac:dyDescent="0.25">
      <c r="A17" s="60">
        <v>16</v>
      </c>
      <c r="B17" s="2" t="s">
        <v>134</v>
      </c>
      <c r="C17" s="2" t="s">
        <v>135</v>
      </c>
    </row>
    <row r="18" spans="1:3" ht="45" x14ac:dyDescent="0.25">
      <c r="A18" s="61">
        <v>18</v>
      </c>
      <c r="B18" s="2" t="s">
        <v>138</v>
      </c>
      <c r="C18" s="2" t="s">
        <v>139</v>
      </c>
    </row>
    <row r="19" spans="1:3" ht="30" x14ac:dyDescent="0.25">
      <c r="A19" s="61">
        <v>19</v>
      </c>
      <c r="B19" s="2" t="s">
        <v>594</v>
      </c>
      <c r="C19" s="2" t="s">
        <v>595</v>
      </c>
    </row>
    <row r="20" spans="1:3" ht="30" x14ac:dyDescent="0.25">
      <c r="A20" s="61">
        <v>20</v>
      </c>
      <c r="B20" s="2" t="s">
        <v>140</v>
      </c>
      <c r="C20" s="2" t="s">
        <v>141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08"/>
  <sheetViews>
    <sheetView tabSelected="1" workbookViewId="0">
      <selection activeCell="Q12" sqref="Q12"/>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52" t="s">
        <v>729</v>
      </c>
      <c r="B1" t="s">
        <v>728</v>
      </c>
      <c r="C1" t="s">
        <v>730</v>
      </c>
      <c r="D1" t="s">
        <v>743</v>
      </c>
      <c r="E1" t="s">
        <v>744</v>
      </c>
      <c r="F1" t="s">
        <v>735</v>
      </c>
    </row>
    <row r="2" spans="1:6" x14ac:dyDescent="0.25">
      <c r="A2" s="58" t="s">
        <v>690</v>
      </c>
      <c r="B2" s="90">
        <v>40724</v>
      </c>
      <c r="C2" s="2">
        <v>5.04</v>
      </c>
      <c r="F2" t="s">
        <v>769</v>
      </c>
    </row>
    <row r="3" spans="1:6" x14ac:dyDescent="0.25">
      <c r="A3" s="58" t="s">
        <v>690</v>
      </c>
      <c r="B3" s="90">
        <v>41090</v>
      </c>
      <c r="C3" s="2">
        <v>4.8</v>
      </c>
      <c r="F3" t="s">
        <v>769</v>
      </c>
    </row>
    <row r="4" spans="1:6" x14ac:dyDescent="0.25">
      <c r="A4" s="58" t="s">
        <v>690</v>
      </c>
      <c r="B4" s="90">
        <v>41455</v>
      </c>
      <c r="C4" s="2">
        <v>4.72</v>
      </c>
      <c r="F4" t="s">
        <v>769</v>
      </c>
    </row>
    <row r="5" spans="1:6" x14ac:dyDescent="0.25">
      <c r="A5" s="58" t="s">
        <v>690</v>
      </c>
      <c r="B5" s="90">
        <v>41820</v>
      </c>
      <c r="C5" s="2">
        <v>4.79</v>
      </c>
      <c r="F5" t="s">
        <v>769</v>
      </c>
    </row>
    <row r="6" spans="1:6" x14ac:dyDescent="0.25">
      <c r="A6" s="58" t="s">
        <v>690</v>
      </c>
      <c r="B6" s="90">
        <v>42185</v>
      </c>
      <c r="C6" s="2">
        <v>4.84</v>
      </c>
      <c r="F6" t="s">
        <v>769</v>
      </c>
    </row>
    <row r="7" spans="1:6" x14ac:dyDescent="0.25">
      <c r="A7" s="58" t="s">
        <v>690</v>
      </c>
      <c r="B7" s="90">
        <v>42551</v>
      </c>
      <c r="C7" s="2">
        <v>4.95</v>
      </c>
      <c r="D7" s="2"/>
      <c r="E7" s="2"/>
      <c r="F7" s="2" t="s">
        <v>736</v>
      </c>
    </row>
    <row r="8" spans="1:6" x14ac:dyDescent="0.25">
      <c r="A8" s="58" t="s">
        <v>690</v>
      </c>
      <c r="B8" s="90">
        <v>51317</v>
      </c>
      <c r="C8" s="2">
        <v>4.1100000000000003</v>
      </c>
      <c r="D8" s="2"/>
      <c r="E8" s="2"/>
      <c r="F8" s="2" t="s">
        <v>738</v>
      </c>
    </row>
    <row r="9" spans="1:6" x14ac:dyDescent="0.25">
      <c r="A9" s="58" t="s">
        <v>692</v>
      </c>
      <c r="B9" s="91">
        <v>43281</v>
      </c>
      <c r="C9" s="67">
        <v>68.400000000000006</v>
      </c>
      <c r="D9" s="67">
        <v>65.538751133575303</v>
      </c>
      <c r="E9" s="67">
        <v>71.158794562405902</v>
      </c>
      <c r="F9" s="42" t="s">
        <v>736</v>
      </c>
    </row>
    <row r="10" spans="1:6" x14ac:dyDescent="0.25">
      <c r="A10" s="58" t="s">
        <v>692</v>
      </c>
      <c r="B10" s="91">
        <v>43646</v>
      </c>
      <c r="C10" s="67">
        <v>67.2</v>
      </c>
      <c r="D10" s="67">
        <v>64.083971006635693</v>
      </c>
      <c r="E10" s="67">
        <v>70.112622314085897</v>
      </c>
      <c r="F10" s="42" t="s">
        <v>737</v>
      </c>
    </row>
    <row r="11" spans="1:6" x14ac:dyDescent="0.25">
      <c r="A11" s="58" t="s">
        <v>692</v>
      </c>
      <c r="B11" s="90">
        <v>51317</v>
      </c>
      <c r="C11" s="67">
        <v>80</v>
      </c>
      <c r="D11" s="94"/>
      <c r="E11" s="94"/>
      <c r="F11" s="2" t="s">
        <v>738</v>
      </c>
    </row>
    <row r="12" spans="1:6" x14ac:dyDescent="0.25">
      <c r="A12" s="58" t="s">
        <v>691</v>
      </c>
      <c r="B12" s="91">
        <v>43281</v>
      </c>
      <c r="C12" s="95">
        <v>63</v>
      </c>
      <c r="D12" s="67">
        <v>60.304286081761603</v>
      </c>
      <c r="E12" s="67">
        <v>66.167510713120095</v>
      </c>
      <c r="F12" s="42" t="s">
        <v>736</v>
      </c>
    </row>
    <row r="13" spans="1:6" x14ac:dyDescent="0.25">
      <c r="A13" s="58" t="s">
        <v>691</v>
      </c>
      <c r="B13" s="91">
        <v>43646</v>
      </c>
      <c r="C13" s="95">
        <v>60.699999999999996</v>
      </c>
      <c r="D13" s="67">
        <v>57.5564462873403</v>
      </c>
      <c r="E13" s="67">
        <v>63.814694958317894</v>
      </c>
      <c r="F13" s="42" t="s">
        <v>737</v>
      </c>
    </row>
    <row r="14" spans="1:6" x14ac:dyDescent="0.25">
      <c r="A14" s="58" t="s">
        <v>691</v>
      </c>
      <c r="B14" s="90">
        <v>51317</v>
      </c>
      <c r="C14" s="95">
        <v>90</v>
      </c>
      <c r="D14" s="95"/>
      <c r="E14" s="95"/>
      <c r="F14" s="2" t="s">
        <v>738</v>
      </c>
    </row>
    <row r="15" spans="1:6" x14ac:dyDescent="0.25">
      <c r="A15" s="58" t="s">
        <v>693</v>
      </c>
      <c r="F15" s="42" t="s">
        <v>736</v>
      </c>
    </row>
    <row r="16" spans="1:6" x14ac:dyDescent="0.25">
      <c r="A16" s="58" t="s">
        <v>693</v>
      </c>
      <c r="F16" s="2" t="s">
        <v>738</v>
      </c>
    </row>
    <row r="17" spans="1:6" x14ac:dyDescent="0.25">
      <c r="A17" s="58" t="s">
        <v>694</v>
      </c>
      <c r="B17" s="91">
        <v>43281</v>
      </c>
      <c r="C17" s="95">
        <v>48.5</v>
      </c>
      <c r="D17" s="95">
        <v>45.395837796280397</v>
      </c>
      <c r="E17" s="95">
        <v>51.597672572044409</v>
      </c>
      <c r="F17" s="42" t="s">
        <v>736</v>
      </c>
    </row>
    <row r="18" spans="1:6" x14ac:dyDescent="0.25">
      <c r="A18" s="58" t="s">
        <v>694</v>
      </c>
      <c r="B18" s="91">
        <v>43646</v>
      </c>
      <c r="C18" s="95">
        <v>45.6</v>
      </c>
      <c r="D18" s="95">
        <v>42.354182641082602</v>
      </c>
      <c r="E18" s="95">
        <v>48.833706034554297</v>
      </c>
      <c r="F18" s="42" t="s">
        <v>737</v>
      </c>
    </row>
    <row r="19" spans="1:6" x14ac:dyDescent="0.25">
      <c r="A19" s="58" t="s">
        <v>694</v>
      </c>
      <c r="B19" s="90">
        <v>51317</v>
      </c>
      <c r="C19" s="95">
        <v>80</v>
      </c>
      <c r="D19" s="95"/>
      <c r="E19" s="95"/>
      <c r="F19" s="2" t="s">
        <v>738</v>
      </c>
    </row>
    <row r="20" spans="1:6" x14ac:dyDescent="0.25">
      <c r="A20" s="58" t="s">
        <v>695</v>
      </c>
      <c r="B20" s="92">
        <v>42916</v>
      </c>
      <c r="C20" s="95">
        <v>57.699999999999996</v>
      </c>
      <c r="D20" s="95"/>
      <c r="E20" s="95"/>
      <c r="F20" s="42" t="s">
        <v>736</v>
      </c>
    </row>
    <row r="21" spans="1:6" x14ac:dyDescent="0.25">
      <c r="A21" s="58" t="s">
        <v>695</v>
      </c>
      <c r="B21" s="90">
        <v>51317</v>
      </c>
      <c r="C21" s="95">
        <v>60</v>
      </c>
      <c r="D21" s="95"/>
      <c r="E21" s="95"/>
      <c r="F21" s="2" t="s">
        <v>738</v>
      </c>
    </row>
    <row r="22" spans="1:6" x14ac:dyDescent="0.25">
      <c r="A22" s="58" t="s">
        <v>698</v>
      </c>
      <c r="B22" s="92">
        <v>41820</v>
      </c>
      <c r="C22" s="95">
        <v>14.3</v>
      </c>
      <c r="D22" s="95">
        <v>9.4</v>
      </c>
      <c r="E22" s="95">
        <v>21.1</v>
      </c>
      <c r="F22" s="42" t="s">
        <v>769</v>
      </c>
    </row>
    <row r="23" spans="1:6" x14ac:dyDescent="0.25">
      <c r="A23" s="58" t="s">
        <v>698</v>
      </c>
      <c r="B23" s="92">
        <v>42916</v>
      </c>
      <c r="C23" s="95">
        <v>12.5</v>
      </c>
      <c r="D23" s="95">
        <v>9</v>
      </c>
      <c r="E23" s="95">
        <v>17</v>
      </c>
      <c r="F23" s="42" t="s">
        <v>736</v>
      </c>
    </row>
    <row r="24" spans="1:6" x14ac:dyDescent="0.25">
      <c r="A24" s="58" t="s">
        <v>698</v>
      </c>
      <c r="B24" s="90">
        <v>51317</v>
      </c>
      <c r="C24" s="95">
        <v>8.9</v>
      </c>
      <c r="D24" s="95"/>
      <c r="E24" s="95"/>
      <c r="F24" s="2" t="s">
        <v>738</v>
      </c>
    </row>
    <row r="25" spans="1:6" x14ac:dyDescent="0.25">
      <c r="A25" s="58" t="s">
        <v>739</v>
      </c>
      <c r="B25" s="91">
        <v>43281</v>
      </c>
      <c r="C25" s="95">
        <v>62.8</v>
      </c>
      <c r="D25" s="67">
        <v>59.877990759808299</v>
      </c>
      <c r="E25" s="67">
        <v>65.605150908988506</v>
      </c>
      <c r="F25" s="42" t="s">
        <v>736</v>
      </c>
    </row>
    <row r="26" spans="1:6" x14ac:dyDescent="0.25">
      <c r="A26" s="58" t="s">
        <v>739</v>
      </c>
      <c r="B26" s="91">
        <v>43646</v>
      </c>
      <c r="C26" s="95">
        <v>67</v>
      </c>
      <c r="D26" s="67">
        <v>64.039769861282096</v>
      </c>
      <c r="E26" s="67">
        <v>69.906919042560105</v>
      </c>
      <c r="F26" s="42" t="s">
        <v>737</v>
      </c>
    </row>
    <row r="27" spans="1:6" x14ac:dyDescent="0.25">
      <c r="A27" s="58" t="s">
        <v>739</v>
      </c>
      <c r="B27" s="90">
        <v>51317</v>
      </c>
      <c r="C27" s="95">
        <v>80</v>
      </c>
      <c r="D27" s="86"/>
      <c r="E27" s="86"/>
      <c r="F27" s="2" t="s">
        <v>738</v>
      </c>
    </row>
    <row r="28" spans="1:6" x14ac:dyDescent="0.25">
      <c r="A28" s="58" t="s">
        <v>740</v>
      </c>
      <c r="B28" s="91">
        <v>43281</v>
      </c>
      <c r="C28" s="95">
        <v>85.1</v>
      </c>
      <c r="D28" s="87"/>
      <c r="E28" s="87"/>
      <c r="F28" s="42" t="s">
        <v>736</v>
      </c>
    </row>
    <row r="29" spans="1:6" x14ac:dyDescent="0.25">
      <c r="A29" s="58" t="s">
        <v>740</v>
      </c>
      <c r="B29" s="90">
        <v>51317</v>
      </c>
      <c r="C29" s="89">
        <v>89.9</v>
      </c>
      <c r="D29" s="87"/>
      <c r="E29" s="87"/>
      <c r="F29" s="42" t="s">
        <v>738</v>
      </c>
    </row>
    <row r="30" spans="1:6" x14ac:dyDescent="0.25">
      <c r="A30" s="58" t="s">
        <v>696</v>
      </c>
      <c r="B30" s="91">
        <v>43281</v>
      </c>
      <c r="C30" s="89">
        <v>52</v>
      </c>
      <c r="D30" s="89">
        <v>50.302758398000002</v>
      </c>
      <c r="E30" s="89">
        <v>53.871574222</v>
      </c>
      <c r="F30" s="42" t="s">
        <v>736</v>
      </c>
    </row>
    <row r="31" spans="1:6" x14ac:dyDescent="0.25">
      <c r="A31" s="58" t="s">
        <v>696</v>
      </c>
      <c r="B31" s="91">
        <v>43646</v>
      </c>
      <c r="C31" s="89">
        <v>49</v>
      </c>
      <c r="D31" s="89">
        <v>46.735637591080902</v>
      </c>
      <c r="E31" s="89">
        <v>50.539152862397202</v>
      </c>
      <c r="F31" s="42" t="s">
        <v>737</v>
      </c>
    </row>
    <row r="32" spans="1:6" x14ac:dyDescent="0.25">
      <c r="A32" s="58" t="s">
        <v>696</v>
      </c>
      <c r="B32" s="90">
        <v>51317</v>
      </c>
      <c r="C32" s="89">
        <v>63</v>
      </c>
      <c r="D32" s="89"/>
      <c r="E32" s="89"/>
      <c r="F32" s="2" t="s">
        <v>738</v>
      </c>
    </row>
    <row r="33" spans="1:6" x14ac:dyDescent="0.25">
      <c r="A33" s="58" t="s">
        <v>697</v>
      </c>
      <c r="B33" s="90">
        <v>40724</v>
      </c>
      <c r="C33" s="95">
        <v>16.7</v>
      </c>
      <c r="D33" s="87"/>
      <c r="E33" s="87"/>
      <c r="F33" s="42" t="s">
        <v>769</v>
      </c>
    </row>
    <row r="34" spans="1:6" x14ac:dyDescent="0.25">
      <c r="A34" s="58" t="s">
        <v>697</v>
      </c>
      <c r="B34" s="90">
        <v>42551</v>
      </c>
      <c r="C34" s="95">
        <v>15.9</v>
      </c>
      <c r="D34" s="87"/>
      <c r="E34" s="87"/>
      <c r="F34" s="42" t="s">
        <v>736</v>
      </c>
    </row>
    <row r="35" spans="1:6" x14ac:dyDescent="0.25">
      <c r="A35" s="58" t="s">
        <v>697</v>
      </c>
      <c r="B35" s="90">
        <v>51317</v>
      </c>
      <c r="C35" s="95">
        <v>15.1</v>
      </c>
      <c r="D35" s="87"/>
      <c r="E35" s="87"/>
      <c r="F35" s="2" t="s">
        <v>738</v>
      </c>
    </row>
    <row r="36" spans="1:6" x14ac:dyDescent="0.25">
      <c r="A36" s="59" t="s">
        <v>699</v>
      </c>
      <c r="B36" s="91">
        <v>42551</v>
      </c>
      <c r="C36" s="95">
        <v>5.0999999999999996</v>
      </c>
      <c r="D36" s="87"/>
      <c r="E36" s="87"/>
      <c r="F36" s="2" t="s">
        <v>769</v>
      </c>
    </row>
    <row r="37" spans="1:6" x14ac:dyDescent="0.25">
      <c r="A37" s="59" t="s">
        <v>699</v>
      </c>
      <c r="B37" s="91">
        <v>42916</v>
      </c>
      <c r="C37" s="95">
        <v>5.2</v>
      </c>
      <c r="D37" s="87"/>
      <c r="E37" s="87"/>
      <c r="F37" s="2" t="s">
        <v>769</v>
      </c>
    </row>
    <row r="38" spans="1:6" x14ac:dyDescent="0.25">
      <c r="A38" s="59" t="s">
        <v>699</v>
      </c>
      <c r="B38" s="91">
        <v>43281</v>
      </c>
      <c r="C38" s="95">
        <v>4.8</v>
      </c>
      <c r="D38" s="87"/>
      <c r="E38" s="87"/>
      <c r="F38" s="42" t="s">
        <v>736</v>
      </c>
    </row>
    <row r="39" spans="1:6" x14ac:dyDescent="0.25">
      <c r="A39" s="59" t="s">
        <v>699</v>
      </c>
      <c r="B39" s="90">
        <v>51317</v>
      </c>
      <c r="C39" s="95">
        <v>2.1</v>
      </c>
      <c r="D39" s="87"/>
      <c r="E39" s="87"/>
      <c r="F39" s="2" t="s">
        <v>738</v>
      </c>
    </row>
    <row r="40" spans="1:6" x14ac:dyDescent="0.25">
      <c r="A40" s="59" t="s">
        <v>700</v>
      </c>
      <c r="B40" s="90">
        <v>40724</v>
      </c>
      <c r="C40" s="95">
        <v>15.3</v>
      </c>
      <c r="D40" s="87"/>
      <c r="E40" s="87"/>
      <c r="F40" s="42" t="s">
        <v>769</v>
      </c>
    </row>
    <row r="41" spans="1:6" x14ac:dyDescent="0.25">
      <c r="A41" s="59" t="s">
        <v>700</v>
      </c>
      <c r="B41" s="90">
        <v>42551</v>
      </c>
      <c r="C41" s="95">
        <v>17.2</v>
      </c>
      <c r="D41" s="87"/>
      <c r="E41" s="87"/>
      <c r="F41" s="42" t="s">
        <v>736</v>
      </c>
    </row>
    <row r="42" spans="1:6" x14ac:dyDescent="0.25">
      <c r="A42" s="59" t="s">
        <v>700</v>
      </c>
      <c r="B42" s="90">
        <v>51317</v>
      </c>
      <c r="C42" s="95">
        <v>21.5</v>
      </c>
      <c r="D42" s="87"/>
      <c r="E42" s="87"/>
      <c r="F42" s="2" t="s">
        <v>738</v>
      </c>
    </row>
    <row r="43" spans="1:6" x14ac:dyDescent="0.25">
      <c r="A43" s="59" t="s">
        <v>701</v>
      </c>
      <c r="B43" s="92">
        <v>42551</v>
      </c>
      <c r="C43" s="95">
        <v>91.8</v>
      </c>
      <c r="D43" s="87"/>
      <c r="E43" s="87"/>
      <c r="F43" s="2" t="s">
        <v>769</v>
      </c>
    </row>
    <row r="44" spans="1:6" x14ac:dyDescent="0.25">
      <c r="A44" s="59" t="s">
        <v>701</v>
      </c>
      <c r="B44" s="92">
        <v>42916</v>
      </c>
      <c r="C44" s="95">
        <v>91.600000000000009</v>
      </c>
      <c r="D44" s="87"/>
      <c r="E44" s="87"/>
      <c r="F44" s="42" t="s">
        <v>736</v>
      </c>
    </row>
    <row r="45" spans="1:6" x14ac:dyDescent="0.25">
      <c r="A45" s="59" t="s">
        <v>701</v>
      </c>
      <c r="B45" s="90">
        <v>51317</v>
      </c>
      <c r="C45" s="95">
        <v>96.2</v>
      </c>
      <c r="D45" s="87"/>
      <c r="E45" s="87"/>
      <c r="F45" s="2" t="s">
        <v>738</v>
      </c>
    </row>
    <row r="46" spans="1:6" x14ac:dyDescent="0.25">
      <c r="A46" s="59" t="s">
        <v>702</v>
      </c>
      <c r="B46" s="91">
        <v>43281</v>
      </c>
      <c r="C46" s="95">
        <v>17.599999999999998</v>
      </c>
      <c r="D46" s="87"/>
      <c r="E46" s="87"/>
      <c r="F46" s="42" t="s">
        <v>736</v>
      </c>
    </row>
    <row r="47" spans="1:6" x14ac:dyDescent="0.25">
      <c r="A47" s="59" t="s">
        <v>702</v>
      </c>
      <c r="B47" s="91">
        <v>43646</v>
      </c>
      <c r="C47" s="95">
        <v>16.97</v>
      </c>
      <c r="D47" s="87"/>
      <c r="E47" s="87"/>
      <c r="F47" s="42" t="s">
        <v>737</v>
      </c>
    </row>
    <row r="48" spans="1:6" x14ac:dyDescent="0.25">
      <c r="A48" s="59" t="s">
        <v>702</v>
      </c>
      <c r="B48" s="90">
        <v>51317</v>
      </c>
      <c r="C48" s="95">
        <v>80</v>
      </c>
      <c r="D48" s="86"/>
      <c r="E48" s="86"/>
      <c r="F48" s="2" t="s">
        <v>738</v>
      </c>
    </row>
    <row r="49" spans="1:6" x14ac:dyDescent="0.25">
      <c r="A49" s="59" t="s">
        <v>703</v>
      </c>
      <c r="B49" s="92">
        <v>40724</v>
      </c>
      <c r="C49" s="95">
        <v>33.799999999999997</v>
      </c>
      <c r="D49" s="86"/>
      <c r="E49" s="86"/>
      <c r="F49" s="2" t="s">
        <v>769</v>
      </c>
    </row>
    <row r="50" spans="1:6" x14ac:dyDescent="0.25">
      <c r="A50" s="59" t="s">
        <v>703</v>
      </c>
      <c r="B50" s="92">
        <v>42551</v>
      </c>
      <c r="C50" s="95">
        <v>33</v>
      </c>
      <c r="D50" s="86"/>
      <c r="E50" s="86"/>
      <c r="F50" s="42" t="s">
        <v>736</v>
      </c>
    </row>
    <row r="51" spans="1:6" x14ac:dyDescent="0.25">
      <c r="A51" s="59" t="s">
        <v>703</v>
      </c>
      <c r="B51" s="90">
        <v>51317</v>
      </c>
      <c r="C51" s="95">
        <v>48.199999999999996</v>
      </c>
      <c r="D51" s="86"/>
      <c r="E51" s="86"/>
      <c r="F51" s="2" t="s">
        <v>738</v>
      </c>
    </row>
    <row r="52" spans="1:6" x14ac:dyDescent="0.25">
      <c r="A52" s="59" t="s">
        <v>704</v>
      </c>
      <c r="B52" s="91">
        <v>43646</v>
      </c>
      <c r="C52" s="89">
        <v>46.9</v>
      </c>
      <c r="D52" s="89"/>
      <c r="E52" s="89"/>
      <c r="F52" s="42" t="s">
        <v>736</v>
      </c>
    </row>
    <row r="53" spans="1:6" x14ac:dyDescent="0.25">
      <c r="A53" s="59" t="s">
        <v>704</v>
      </c>
      <c r="B53" s="90">
        <v>51317</v>
      </c>
      <c r="C53" s="89">
        <v>49.3</v>
      </c>
      <c r="D53" s="89"/>
      <c r="E53" s="89"/>
      <c r="F53" s="2" t="s">
        <v>738</v>
      </c>
    </row>
    <row r="54" spans="1:6" x14ac:dyDescent="0.25">
      <c r="A54" s="59" t="s">
        <v>705</v>
      </c>
      <c r="B54" s="91">
        <v>43281</v>
      </c>
      <c r="C54" s="89">
        <v>71</v>
      </c>
      <c r="D54" s="89">
        <v>69.282534772719998</v>
      </c>
      <c r="E54" s="89">
        <v>71.891836587279997</v>
      </c>
      <c r="F54" s="42" t="s">
        <v>736</v>
      </c>
    </row>
    <row r="55" spans="1:6" x14ac:dyDescent="0.25">
      <c r="A55" s="59" t="s">
        <v>705</v>
      </c>
      <c r="B55" s="91">
        <v>43646</v>
      </c>
      <c r="C55" s="89">
        <v>71</v>
      </c>
      <c r="D55" s="89">
        <v>69.310210964059195</v>
      </c>
      <c r="E55" s="89">
        <v>71.990952281489598</v>
      </c>
      <c r="F55" s="42" t="s">
        <v>737</v>
      </c>
    </row>
    <row r="56" spans="1:6" x14ac:dyDescent="0.25">
      <c r="A56" s="59" t="s">
        <v>705</v>
      </c>
      <c r="B56" s="90">
        <v>51317</v>
      </c>
      <c r="C56" s="89">
        <v>79</v>
      </c>
      <c r="D56" s="89"/>
      <c r="E56" s="89"/>
      <c r="F56" s="2" t="s">
        <v>738</v>
      </c>
    </row>
    <row r="57" spans="1:6" x14ac:dyDescent="0.25">
      <c r="A57" s="59" t="s">
        <v>706</v>
      </c>
      <c r="B57" s="91">
        <v>43281</v>
      </c>
      <c r="C57" s="95">
        <v>16.7</v>
      </c>
      <c r="D57" s="88"/>
      <c r="E57" s="88"/>
      <c r="F57" s="42" t="s">
        <v>736</v>
      </c>
    </row>
    <row r="58" spans="1:6" x14ac:dyDescent="0.25">
      <c r="A58" s="59" t="s">
        <v>706</v>
      </c>
      <c r="B58" s="91">
        <v>43646</v>
      </c>
      <c r="C58" s="95">
        <v>16.7</v>
      </c>
      <c r="D58" s="88"/>
      <c r="E58" s="88"/>
      <c r="F58" s="42" t="s">
        <v>737</v>
      </c>
    </row>
    <row r="59" spans="1:6" x14ac:dyDescent="0.25">
      <c r="A59" s="59" t="s">
        <v>706</v>
      </c>
      <c r="B59" s="90">
        <v>51317</v>
      </c>
      <c r="C59" s="95">
        <v>100</v>
      </c>
      <c r="D59" s="88"/>
      <c r="E59" s="88"/>
      <c r="F59" s="2" t="s">
        <v>738</v>
      </c>
    </row>
    <row r="60" spans="1:6" x14ac:dyDescent="0.25">
      <c r="A60" s="84" t="s">
        <v>707</v>
      </c>
      <c r="B60" s="91">
        <v>43281</v>
      </c>
      <c r="C60" s="95">
        <v>76.099999999999994</v>
      </c>
      <c r="D60" s="87"/>
      <c r="E60" s="87"/>
      <c r="F60" s="42" t="s">
        <v>736</v>
      </c>
    </row>
    <row r="61" spans="1:6" x14ac:dyDescent="0.25">
      <c r="A61" s="84" t="s">
        <v>707</v>
      </c>
      <c r="B61" s="90">
        <v>51317</v>
      </c>
      <c r="C61" s="95">
        <v>90</v>
      </c>
      <c r="D61" s="87"/>
      <c r="E61" s="87"/>
      <c r="F61" s="2" t="s">
        <v>738</v>
      </c>
    </row>
    <row r="62" spans="1:6" x14ac:dyDescent="0.25">
      <c r="A62" s="98" t="s">
        <v>708</v>
      </c>
      <c r="B62" s="90">
        <v>40724</v>
      </c>
      <c r="C62" s="95">
        <v>21.6</v>
      </c>
      <c r="D62" s="87"/>
      <c r="E62" s="87"/>
      <c r="F62" s="42" t="s">
        <v>769</v>
      </c>
    </row>
    <row r="63" spans="1:6" x14ac:dyDescent="0.25">
      <c r="A63" s="84" t="s">
        <v>708</v>
      </c>
      <c r="B63" s="90">
        <v>42551</v>
      </c>
      <c r="C63" s="95">
        <v>23.6</v>
      </c>
      <c r="D63" s="87"/>
      <c r="E63" s="87"/>
      <c r="F63" s="42" t="s">
        <v>736</v>
      </c>
    </row>
    <row r="64" spans="1:6" x14ac:dyDescent="0.25">
      <c r="A64" s="84" t="s">
        <v>708</v>
      </c>
      <c r="B64" s="90">
        <v>51317</v>
      </c>
      <c r="C64" s="95">
        <v>50.1</v>
      </c>
      <c r="D64" s="87"/>
      <c r="E64" s="87"/>
      <c r="F64" s="2" t="s">
        <v>738</v>
      </c>
    </row>
    <row r="65" spans="1:6" x14ac:dyDescent="0.25">
      <c r="A65" s="99" t="s">
        <v>709</v>
      </c>
      <c r="B65" s="90">
        <v>40724</v>
      </c>
      <c r="C65" s="95">
        <v>10.4</v>
      </c>
      <c r="D65" s="87"/>
      <c r="E65" s="87"/>
      <c r="F65" s="2" t="s">
        <v>769</v>
      </c>
    </row>
    <row r="66" spans="1:6" x14ac:dyDescent="0.25">
      <c r="A66" s="84" t="s">
        <v>709</v>
      </c>
      <c r="B66" s="90">
        <v>42551</v>
      </c>
      <c r="C66" s="95">
        <v>11</v>
      </c>
      <c r="D66" s="87"/>
      <c r="E66" s="87"/>
      <c r="F66" s="42" t="s">
        <v>736</v>
      </c>
    </row>
    <row r="67" spans="1:6" x14ac:dyDescent="0.25">
      <c r="A67" s="84" t="s">
        <v>709</v>
      </c>
      <c r="B67" s="90">
        <v>51317</v>
      </c>
      <c r="C67" s="95">
        <v>11.600000000000001</v>
      </c>
      <c r="D67" s="87"/>
      <c r="E67" s="87"/>
      <c r="F67" s="2" t="s">
        <v>738</v>
      </c>
    </row>
    <row r="68" spans="1:6" x14ac:dyDescent="0.25">
      <c r="A68" s="84" t="s">
        <v>710</v>
      </c>
      <c r="B68" s="91">
        <v>43281</v>
      </c>
      <c r="C68" s="89">
        <v>2</v>
      </c>
      <c r="D68" s="89"/>
      <c r="E68" s="89"/>
      <c r="F68" s="42" t="s">
        <v>736</v>
      </c>
    </row>
    <row r="69" spans="1:6" x14ac:dyDescent="0.25">
      <c r="A69" s="84" t="s">
        <v>710</v>
      </c>
      <c r="B69" s="91">
        <v>43646</v>
      </c>
      <c r="C69" s="89">
        <v>1</v>
      </c>
      <c r="D69" s="89"/>
      <c r="E69" s="89"/>
      <c r="F69" s="42" t="s">
        <v>737</v>
      </c>
    </row>
    <row r="70" spans="1:6" x14ac:dyDescent="0.25">
      <c r="A70" s="84" t="s">
        <v>710</v>
      </c>
      <c r="B70" s="90">
        <v>51317</v>
      </c>
      <c r="C70" s="89">
        <v>0</v>
      </c>
      <c r="D70" s="89"/>
      <c r="E70" s="89"/>
      <c r="F70" s="2" t="s">
        <v>738</v>
      </c>
    </row>
    <row r="71" spans="1:6" x14ac:dyDescent="0.25">
      <c r="A71" s="84" t="s">
        <v>711</v>
      </c>
      <c r="B71" s="91">
        <v>43281</v>
      </c>
      <c r="C71" s="95">
        <v>0</v>
      </c>
      <c r="D71" s="87"/>
      <c r="E71" s="87"/>
      <c r="F71" s="42" t="s">
        <v>736</v>
      </c>
    </row>
    <row r="72" spans="1:6" x14ac:dyDescent="0.25">
      <c r="A72" s="84" t="s">
        <v>711</v>
      </c>
      <c r="B72" s="90">
        <v>51317</v>
      </c>
      <c r="C72" s="95">
        <v>100</v>
      </c>
      <c r="D72" s="87"/>
      <c r="E72" s="87"/>
      <c r="F72" s="2" t="s">
        <v>738</v>
      </c>
    </row>
    <row r="73" spans="1:6" x14ac:dyDescent="0.25">
      <c r="A73" s="84" t="s">
        <v>712</v>
      </c>
      <c r="B73" s="91">
        <v>43281</v>
      </c>
      <c r="C73" s="95">
        <v>0</v>
      </c>
      <c r="D73" s="88"/>
      <c r="E73" s="88"/>
      <c r="F73" s="42" t="s">
        <v>736</v>
      </c>
    </row>
    <row r="74" spans="1:6" x14ac:dyDescent="0.25">
      <c r="A74" s="84" t="s">
        <v>712</v>
      </c>
      <c r="B74" s="91">
        <v>43646</v>
      </c>
      <c r="C74" s="95">
        <v>60.699999999999996</v>
      </c>
      <c r="D74" s="88"/>
      <c r="E74" s="88"/>
      <c r="F74" s="42" t="s">
        <v>737</v>
      </c>
    </row>
    <row r="75" spans="1:6" x14ac:dyDescent="0.25">
      <c r="A75" s="84" t="s">
        <v>712</v>
      </c>
      <c r="B75" s="90">
        <v>51317</v>
      </c>
      <c r="C75" s="95">
        <v>100</v>
      </c>
      <c r="D75" s="88"/>
      <c r="E75" s="88"/>
      <c r="F75" s="2" t="s">
        <v>738</v>
      </c>
    </row>
    <row r="76" spans="1:6" x14ac:dyDescent="0.25">
      <c r="A76" s="60" t="s">
        <v>713</v>
      </c>
      <c r="B76" s="91">
        <v>43281</v>
      </c>
      <c r="C76" s="89">
        <v>2773</v>
      </c>
      <c r="D76" s="89"/>
      <c r="E76" s="89"/>
      <c r="F76" s="42" t="s">
        <v>736</v>
      </c>
    </row>
    <row r="77" spans="1:6" x14ac:dyDescent="0.25">
      <c r="A77" s="60" t="s">
        <v>713</v>
      </c>
      <c r="B77" s="91">
        <v>43646</v>
      </c>
      <c r="C77" s="89">
        <v>1746</v>
      </c>
      <c r="D77" s="89"/>
      <c r="E77" s="89"/>
      <c r="F77" s="42" t="s">
        <v>737</v>
      </c>
    </row>
    <row r="78" spans="1:6" x14ac:dyDescent="0.25">
      <c r="A78" s="60" t="s">
        <v>713</v>
      </c>
      <c r="B78" s="90">
        <v>51317</v>
      </c>
      <c r="C78" s="89">
        <v>139</v>
      </c>
      <c r="D78" s="89"/>
      <c r="E78" s="89"/>
      <c r="F78" s="2" t="s">
        <v>738</v>
      </c>
    </row>
    <row r="79" spans="1:6" x14ac:dyDescent="0.25">
      <c r="A79" s="60" t="s">
        <v>720</v>
      </c>
      <c r="B79" s="91">
        <v>43281</v>
      </c>
      <c r="C79" s="89">
        <v>1300000</v>
      </c>
      <c r="D79" s="89"/>
      <c r="E79" s="89"/>
      <c r="F79" s="42" t="s">
        <v>736</v>
      </c>
    </row>
    <row r="80" spans="1:6" x14ac:dyDescent="0.25">
      <c r="A80" s="60" t="s">
        <v>720</v>
      </c>
      <c r="B80" s="90">
        <v>51317</v>
      </c>
      <c r="C80" s="89">
        <v>0</v>
      </c>
      <c r="D80" s="89"/>
      <c r="E80" s="89"/>
      <c r="F80" s="2" t="s">
        <v>738</v>
      </c>
    </row>
    <row r="81" spans="1:6" x14ac:dyDescent="0.25">
      <c r="A81" s="60" t="s">
        <v>714</v>
      </c>
      <c r="B81" s="91">
        <v>43281</v>
      </c>
      <c r="C81" s="89">
        <v>49917</v>
      </c>
      <c r="D81" s="89"/>
      <c r="E81" s="89"/>
      <c r="F81" s="42" t="s">
        <v>736</v>
      </c>
    </row>
    <row r="82" spans="1:6" x14ac:dyDescent="0.25">
      <c r="A82" s="60" t="s">
        <v>714</v>
      </c>
      <c r="B82" s="91">
        <v>43646</v>
      </c>
      <c r="C82" s="89">
        <v>51573</v>
      </c>
      <c r="D82" s="89"/>
      <c r="E82" s="89"/>
      <c r="F82" s="42" t="s">
        <v>737</v>
      </c>
    </row>
    <row r="83" spans="1:6" x14ac:dyDescent="0.25">
      <c r="A83" s="60" t="s">
        <v>714</v>
      </c>
      <c r="B83" s="90">
        <v>51317</v>
      </c>
      <c r="C83" s="89">
        <v>54909</v>
      </c>
      <c r="D83" s="89"/>
      <c r="E83" s="89"/>
      <c r="F83" s="2" t="s">
        <v>738</v>
      </c>
    </row>
    <row r="84" spans="1:6" x14ac:dyDescent="0.25">
      <c r="A84" s="60" t="s">
        <v>721</v>
      </c>
      <c r="B84" s="91">
        <v>42185</v>
      </c>
      <c r="C84" s="89">
        <v>127</v>
      </c>
      <c r="D84" s="89"/>
      <c r="E84" s="89"/>
      <c r="F84" s="42" t="s">
        <v>736</v>
      </c>
    </row>
    <row r="85" spans="1:6" x14ac:dyDescent="0.25">
      <c r="A85" s="60" t="s">
        <v>721</v>
      </c>
      <c r="B85" s="90">
        <v>51317</v>
      </c>
      <c r="C85" s="89">
        <v>57</v>
      </c>
      <c r="D85" s="89"/>
      <c r="E85" s="89"/>
      <c r="F85" s="2" t="s">
        <v>738</v>
      </c>
    </row>
    <row r="86" spans="1:6" x14ac:dyDescent="0.25">
      <c r="A86" s="60" t="s">
        <v>722</v>
      </c>
      <c r="B86" s="91">
        <v>42185</v>
      </c>
      <c r="C86" s="89">
        <v>12000</v>
      </c>
      <c r="D86" s="89"/>
      <c r="E86" s="89"/>
      <c r="F86" s="42" t="s">
        <v>736</v>
      </c>
    </row>
    <row r="87" spans="1:6" x14ac:dyDescent="0.25">
      <c r="A87" s="60" t="s">
        <v>722</v>
      </c>
      <c r="B87" s="90">
        <v>51317</v>
      </c>
      <c r="C87" s="89">
        <v>6700</v>
      </c>
      <c r="D87" s="89"/>
      <c r="E87" s="89"/>
      <c r="F87" s="2" t="s">
        <v>738</v>
      </c>
    </row>
    <row r="88" spans="1:6" x14ac:dyDescent="0.25">
      <c r="A88" s="60" t="s">
        <v>723</v>
      </c>
      <c r="B88" s="91">
        <v>43281</v>
      </c>
      <c r="C88" s="95">
        <v>17</v>
      </c>
      <c r="D88" s="95">
        <v>16</v>
      </c>
      <c r="E88" s="95">
        <v>18</v>
      </c>
      <c r="F88" s="42" t="s">
        <v>736</v>
      </c>
    </row>
    <row r="89" spans="1:6" x14ac:dyDescent="0.25">
      <c r="A89" s="60" t="s">
        <v>724</v>
      </c>
      <c r="B89" s="90">
        <v>51317</v>
      </c>
      <c r="C89" s="95">
        <v>30</v>
      </c>
      <c r="D89" s="88"/>
      <c r="E89" s="88"/>
      <c r="F89" s="2" t="s">
        <v>738</v>
      </c>
    </row>
    <row r="90" spans="1:6" x14ac:dyDescent="0.25">
      <c r="A90" s="60" t="s">
        <v>715</v>
      </c>
      <c r="B90" s="91">
        <v>43281</v>
      </c>
      <c r="C90" s="95">
        <v>41.67</v>
      </c>
      <c r="F90" s="42" t="s">
        <v>736</v>
      </c>
    </row>
    <row r="91" spans="1:6" x14ac:dyDescent="0.25">
      <c r="A91" s="60" t="s">
        <v>715</v>
      </c>
      <c r="B91" s="91">
        <v>43646</v>
      </c>
      <c r="C91" s="95">
        <v>41.11</v>
      </c>
      <c r="F91" s="42" t="s">
        <v>737</v>
      </c>
    </row>
    <row r="92" spans="1:6" x14ac:dyDescent="0.25">
      <c r="A92" s="60" t="s">
        <v>715</v>
      </c>
      <c r="B92" s="90">
        <v>51317</v>
      </c>
      <c r="C92" s="95">
        <v>90</v>
      </c>
      <c r="F92" s="2" t="s">
        <v>738</v>
      </c>
    </row>
    <row r="93" spans="1:6" x14ac:dyDescent="0.25">
      <c r="A93" s="60" t="s">
        <v>716</v>
      </c>
      <c r="F93" s="42" t="s">
        <v>736</v>
      </c>
    </row>
    <row r="94" spans="1:6" x14ac:dyDescent="0.25">
      <c r="A94" s="60" t="s">
        <v>716</v>
      </c>
      <c r="B94" s="90">
        <v>51317</v>
      </c>
      <c r="C94" s="95">
        <v>75</v>
      </c>
      <c r="F94" s="2" t="s">
        <v>738</v>
      </c>
    </row>
    <row r="95" spans="1:6" x14ac:dyDescent="0.25">
      <c r="A95" s="60" t="s">
        <v>725</v>
      </c>
      <c r="F95" s="42" t="s">
        <v>736</v>
      </c>
    </row>
    <row r="96" spans="1:6" x14ac:dyDescent="0.25">
      <c r="A96" s="60" t="s">
        <v>725</v>
      </c>
      <c r="B96" s="90">
        <v>51317</v>
      </c>
      <c r="C96" s="95">
        <v>100</v>
      </c>
      <c r="F96" s="2" t="s">
        <v>738</v>
      </c>
    </row>
    <row r="97" spans="1:6" x14ac:dyDescent="0.25">
      <c r="A97" s="61" t="s">
        <v>717</v>
      </c>
      <c r="B97" s="91">
        <v>43281</v>
      </c>
      <c r="C97" s="95">
        <v>75</v>
      </c>
      <c r="F97" s="42" t="s">
        <v>736</v>
      </c>
    </row>
    <row r="98" spans="1:6" x14ac:dyDescent="0.25">
      <c r="A98" s="61" t="s">
        <v>717</v>
      </c>
      <c r="B98" s="91">
        <v>43646</v>
      </c>
      <c r="C98" s="95">
        <v>80</v>
      </c>
      <c r="F98" s="42" t="s">
        <v>737</v>
      </c>
    </row>
    <row r="99" spans="1:6" x14ac:dyDescent="0.25">
      <c r="A99" s="61" t="s">
        <v>717</v>
      </c>
      <c r="B99" s="90">
        <v>51317</v>
      </c>
      <c r="C99" s="95">
        <v>100</v>
      </c>
      <c r="F99" s="2" t="s">
        <v>738</v>
      </c>
    </row>
    <row r="100" spans="1:6" x14ac:dyDescent="0.25">
      <c r="A100" s="61" t="s">
        <v>718</v>
      </c>
      <c r="B100" s="91">
        <v>43646</v>
      </c>
      <c r="C100" s="95">
        <v>5.5</v>
      </c>
      <c r="F100" s="42" t="s">
        <v>736</v>
      </c>
    </row>
    <row r="101" spans="1:6" x14ac:dyDescent="0.25">
      <c r="A101" s="61" t="s">
        <v>718</v>
      </c>
      <c r="B101" s="90">
        <v>51317</v>
      </c>
      <c r="C101" s="95">
        <v>100</v>
      </c>
      <c r="F101" s="2" t="s">
        <v>738</v>
      </c>
    </row>
    <row r="102" spans="1:6" x14ac:dyDescent="0.25">
      <c r="A102" s="61" t="s">
        <v>726</v>
      </c>
      <c r="B102" s="91">
        <v>43281</v>
      </c>
      <c r="C102" s="89">
        <v>4.17</v>
      </c>
      <c r="F102" s="42" t="s">
        <v>736</v>
      </c>
    </row>
    <row r="103" spans="1:6" x14ac:dyDescent="0.25">
      <c r="A103" s="61" t="s">
        <v>726</v>
      </c>
      <c r="B103" s="91">
        <v>43646</v>
      </c>
      <c r="C103" s="89">
        <v>4.13</v>
      </c>
      <c r="F103" s="42" t="s">
        <v>737</v>
      </c>
    </row>
    <row r="104" spans="1:6" x14ac:dyDescent="0.25">
      <c r="A104" s="61" t="s">
        <v>726</v>
      </c>
      <c r="B104" s="90">
        <v>51317</v>
      </c>
      <c r="C104" s="89">
        <v>4.38</v>
      </c>
      <c r="F104" s="2" t="s">
        <v>738</v>
      </c>
    </row>
    <row r="105" spans="1:6" x14ac:dyDescent="0.25">
      <c r="A105" s="61" t="s">
        <v>719</v>
      </c>
      <c r="F105" s="42" t="s">
        <v>736</v>
      </c>
    </row>
    <row r="106" spans="1:6" x14ac:dyDescent="0.25">
      <c r="A106" s="61" t="s">
        <v>719</v>
      </c>
      <c r="F106" s="2" t="s">
        <v>738</v>
      </c>
    </row>
    <row r="107" spans="1:6" x14ac:dyDescent="0.25">
      <c r="A107" s="61" t="s">
        <v>727</v>
      </c>
      <c r="B107" s="92">
        <v>40724</v>
      </c>
      <c r="C107" s="95">
        <v>55.000000000000007</v>
      </c>
      <c r="F107" s="42" t="s">
        <v>736</v>
      </c>
    </row>
    <row r="108" spans="1:6" x14ac:dyDescent="0.25">
      <c r="A108" s="61" t="s">
        <v>727</v>
      </c>
      <c r="B108" s="90">
        <v>51317</v>
      </c>
      <c r="C108" s="95">
        <v>57.8</v>
      </c>
      <c r="F108" s="2" t="s">
        <v>738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0"/>
  <sheetViews>
    <sheetView workbookViewId="0"/>
  </sheetViews>
  <sheetFormatPr defaultRowHeight="15" x14ac:dyDescent="0.25"/>
  <cols>
    <col min="1" max="1" width="11.85546875" bestFit="1" customWidth="1"/>
    <col min="2" max="2" width="12.85546875" bestFit="1" customWidth="1"/>
  </cols>
  <sheetData>
    <row r="1" spans="1:3" x14ac:dyDescent="0.25">
      <c r="A1" s="52" t="s">
        <v>729</v>
      </c>
      <c r="B1" s="85" t="s">
        <v>731</v>
      </c>
      <c r="C1" s="85" t="s">
        <v>742</v>
      </c>
    </row>
    <row r="2" spans="1:3" x14ac:dyDescent="0.25">
      <c r="A2" s="58" t="s">
        <v>690</v>
      </c>
      <c r="B2" t="s">
        <v>732</v>
      </c>
      <c r="C2" t="s">
        <v>750</v>
      </c>
    </row>
    <row r="3" spans="1:3" x14ac:dyDescent="0.25">
      <c r="A3" s="58" t="s">
        <v>692</v>
      </c>
      <c r="B3" t="s">
        <v>734</v>
      </c>
      <c r="C3" t="s">
        <v>751</v>
      </c>
    </row>
    <row r="4" spans="1:3" x14ac:dyDescent="0.25">
      <c r="A4" s="58" t="s">
        <v>691</v>
      </c>
      <c r="B4" t="s">
        <v>734</v>
      </c>
      <c r="C4" t="s">
        <v>751</v>
      </c>
    </row>
    <row r="5" spans="1:3" x14ac:dyDescent="0.25">
      <c r="A5" s="58" t="s">
        <v>693</v>
      </c>
      <c r="B5" t="s">
        <v>734</v>
      </c>
      <c r="C5" t="s">
        <v>751</v>
      </c>
    </row>
    <row r="6" spans="1:3" x14ac:dyDescent="0.25">
      <c r="A6" s="58" t="s">
        <v>694</v>
      </c>
      <c r="B6" t="s">
        <v>734</v>
      </c>
      <c r="C6" t="s">
        <v>751</v>
      </c>
    </row>
    <row r="7" spans="1:3" x14ac:dyDescent="0.25">
      <c r="A7" s="58" t="s">
        <v>695</v>
      </c>
      <c r="B7" t="s">
        <v>734</v>
      </c>
      <c r="C7" t="s">
        <v>751</v>
      </c>
    </row>
    <row r="8" spans="1:3" x14ac:dyDescent="0.25">
      <c r="A8" s="58" t="s">
        <v>698</v>
      </c>
      <c r="B8" t="s">
        <v>734</v>
      </c>
      <c r="C8" t="s">
        <v>751</v>
      </c>
    </row>
    <row r="9" spans="1:3" x14ac:dyDescent="0.25">
      <c r="A9" s="58" t="s">
        <v>739</v>
      </c>
      <c r="B9" t="s">
        <v>734</v>
      </c>
      <c r="C9" t="s">
        <v>751</v>
      </c>
    </row>
    <row r="10" spans="1:3" x14ac:dyDescent="0.25">
      <c r="A10" s="58" t="s">
        <v>740</v>
      </c>
      <c r="B10" t="s">
        <v>734</v>
      </c>
      <c r="C10" t="s">
        <v>751</v>
      </c>
    </row>
    <row r="11" spans="1:3" x14ac:dyDescent="0.25">
      <c r="A11" s="58" t="s">
        <v>696</v>
      </c>
      <c r="B11" t="s">
        <v>733</v>
      </c>
      <c r="C11" t="s">
        <v>752</v>
      </c>
    </row>
    <row r="12" spans="1:3" x14ac:dyDescent="0.25">
      <c r="A12" s="58" t="s">
        <v>697</v>
      </c>
      <c r="B12" t="s">
        <v>734</v>
      </c>
      <c r="C12" t="s">
        <v>751</v>
      </c>
    </row>
    <row r="13" spans="1:3" x14ac:dyDescent="0.25">
      <c r="A13" s="59" t="s">
        <v>699</v>
      </c>
      <c r="B13" t="s">
        <v>734</v>
      </c>
      <c r="C13" t="s">
        <v>751</v>
      </c>
    </row>
    <row r="14" spans="1:3" x14ac:dyDescent="0.25">
      <c r="A14" s="59" t="s">
        <v>700</v>
      </c>
      <c r="B14" t="s">
        <v>734</v>
      </c>
      <c r="C14" t="s">
        <v>751</v>
      </c>
    </row>
    <row r="15" spans="1:3" x14ac:dyDescent="0.25">
      <c r="A15" s="59" t="s">
        <v>701</v>
      </c>
      <c r="B15" t="s">
        <v>734</v>
      </c>
      <c r="C15" t="s">
        <v>751</v>
      </c>
    </row>
    <row r="16" spans="1:3" x14ac:dyDescent="0.25">
      <c r="A16" s="59" t="s">
        <v>702</v>
      </c>
      <c r="B16" t="s">
        <v>734</v>
      </c>
      <c r="C16" t="s">
        <v>751</v>
      </c>
    </row>
    <row r="17" spans="1:3" x14ac:dyDescent="0.25">
      <c r="A17" s="59" t="s">
        <v>703</v>
      </c>
      <c r="B17" t="s">
        <v>734</v>
      </c>
      <c r="C17" t="s">
        <v>751</v>
      </c>
    </row>
    <row r="18" spans="1:3" x14ac:dyDescent="0.25">
      <c r="A18" s="59" t="s">
        <v>704</v>
      </c>
      <c r="B18" t="s">
        <v>732</v>
      </c>
      <c r="C18" t="s">
        <v>750</v>
      </c>
    </row>
    <row r="19" spans="1:3" x14ac:dyDescent="0.25">
      <c r="A19" s="59" t="s">
        <v>705</v>
      </c>
      <c r="B19" t="s">
        <v>733</v>
      </c>
      <c r="C19" t="s">
        <v>752</v>
      </c>
    </row>
    <row r="20" spans="1:3" x14ac:dyDescent="0.25">
      <c r="A20" s="59" t="s">
        <v>706</v>
      </c>
      <c r="B20" t="s">
        <v>734</v>
      </c>
      <c r="C20" t="s">
        <v>751</v>
      </c>
    </row>
    <row r="21" spans="1:3" x14ac:dyDescent="0.25">
      <c r="A21" s="84" t="s">
        <v>707</v>
      </c>
      <c r="B21" t="s">
        <v>734</v>
      </c>
      <c r="C21" t="s">
        <v>751</v>
      </c>
    </row>
    <row r="22" spans="1:3" x14ac:dyDescent="0.25">
      <c r="A22" s="84" t="s">
        <v>708</v>
      </c>
      <c r="B22" t="s">
        <v>734</v>
      </c>
      <c r="C22" t="s">
        <v>751</v>
      </c>
    </row>
    <row r="23" spans="1:3" x14ac:dyDescent="0.25">
      <c r="A23" s="84" t="s">
        <v>709</v>
      </c>
      <c r="B23" t="s">
        <v>734</v>
      </c>
      <c r="C23" t="s">
        <v>751</v>
      </c>
    </row>
    <row r="24" spans="1:3" x14ac:dyDescent="0.25">
      <c r="A24" s="84" t="s">
        <v>710</v>
      </c>
      <c r="B24" t="s">
        <v>733</v>
      </c>
      <c r="C24" t="s">
        <v>753</v>
      </c>
    </row>
    <row r="25" spans="1:3" x14ac:dyDescent="0.25">
      <c r="A25" s="84" t="s">
        <v>711</v>
      </c>
      <c r="B25" t="s">
        <v>734</v>
      </c>
      <c r="C25" t="s">
        <v>751</v>
      </c>
    </row>
    <row r="26" spans="1:3" x14ac:dyDescent="0.25">
      <c r="A26" s="84" t="s">
        <v>712</v>
      </c>
      <c r="B26" t="s">
        <v>734</v>
      </c>
      <c r="C26" t="s">
        <v>751</v>
      </c>
    </row>
    <row r="27" spans="1:3" x14ac:dyDescent="0.25">
      <c r="A27" s="60" t="s">
        <v>713</v>
      </c>
      <c r="B27" t="s">
        <v>733</v>
      </c>
      <c r="C27" t="s">
        <v>754</v>
      </c>
    </row>
    <row r="28" spans="1:3" x14ac:dyDescent="0.25">
      <c r="A28" s="60" t="s">
        <v>720</v>
      </c>
      <c r="B28" t="s">
        <v>733</v>
      </c>
      <c r="C28" t="s">
        <v>754</v>
      </c>
    </row>
    <row r="29" spans="1:3" x14ac:dyDescent="0.25">
      <c r="A29" s="60" t="s">
        <v>714</v>
      </c>
      <c r="B29" t="s">
        <v>733</v>
      </c>
      <c r="C29" t="s">
        <v>755</v>
      </c>
    </row>
    <row r="30" spans="1:3" x14ac:dyDescent="0.25">
      <c r="A30" s="60" t="s">
        <v>721</v>
      </c>
      <c r="B30" t="s">
        <v>733</v>
      </c>
      <c r="C30" t="s">
        <v>756</v>
      </c>
    </row>
    <row r="31" spans="1:3" x14ac:dyDescent="0.25">
      <c r="A31" s="60" t="s">
        <v>722</v>
      </c>
      <c r="B31" t="s">
        <v>733</v>
      </c>
      <c r="C31" t="s">
        <v>756</v>
      </c>
    </row>
    <row r="32" spans="1:3" x14ac:dyDescent="0.25">
      <c r="A32" s="60" t="s">
        <v>724</v>
      </c>
      <c r="B32" t="s">
        <v>734</v>
      </c>
      <c r="C32" t="s">
        <v>751</v>
      </c>
    </row>
    <row r="33" spans="1:3" x14ac:dyDescent="0.25">
      <c r="A33" s="60" t="s">
        <v>715</v>
      </c>
      <c r="B33" t="s">
        <v>734</v>
      </c>
      <c r="C33" t="s">
        <v>751</v>
      </c>
    </row>
    <row r="34" spans="1:3" x14ac:dyDescent="0.25">
      <c r="A34" s="60" t="s">
        <v>716</v>
      </c>
      <c r="B34" t="s">
        <v>734</v>
      </c>
      <c r="C34" t="s">
        <v>751</v>
      </c>
    </row>
    <row r="35" spans="1:3" x14ac:dyDescent="0.25">
      <c r="A35" s="60" t="s">
        <v>725</v>
      </c>
      <c r="B35" t="s">
        <v>734</v>
      </c>
      <c r="C35" t="s">
        <v>751</v>
      </c>
    </row>
    <row r="36" spans="1:3" x14ac:dyDescent="0.25">
      <c r="A36" s="61" t="s">
        <v>717</v>
      </c>
      <c r="B36" t="s">
        <v>734</v>
      </c>
      <c r="C36" t="s">
        <v>751</v>
      </c>
    </row>
    <row r="37" spans="1:3" x14ac:dyDescent="0.25">
      <c r="A37" s="61" t="s">
        <v>718</v>
      </c>
      <c r="B37" t="s">
        <v>734</v>
      </c>
      <c r="C37" t="s">
        <v>751</v>
      </c>
    </row>
    <row r="38" spans="1:3" x14ac:dyDescent="0.25">
      <c r="A38" s="61" t="s">
        <v>726</v>
      </c>
      <c r="B38" t="s">
        <v>732</v>
      </c>
      <c r="C38" t="s">
        <v>750</v>
      </c>
    </row>
    <row r="39" spans="1:3" x14ac:dyDescent="0.25">
      <c r="A39" s="61" t="s">
        <v>719</v>
      </c>
      <c r="B39" t="s">
        <v>734</v>
      </c>
      <c r="C39" t="s">
        <v>751</v>
      </c>
    </row>
    <row r="40" spans="1:3" x14ac:dyDescent="0.25">
      <c r="A40" s="61" t="s">
        <v>727</v>
      </c>
      <c r="B40" t="s">
        <v>734</v>
      </c>
      <c r="C40" t="s">
        <v>751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Targets Indicators Measures</vt:lpstr>
      <vt:lpstr>Additional indicators</vt:lpstr>
      <vt:lpstr>Themeing indicators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2019-11-27T22:32:33Z</dcterms:modified>
</cp:coreProperties>
</file>