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43"/>
  <workbookPr/>
  <mc:AlternateContent xmlns:mc="http://schemas.openxmlformats.org/markup-compatibility/2006">
    <mc:Choice Requires="x15">
      <x15ac:absPath xmlns:x15ac="http://schemas.microsoft.com/office/spreadsheetml/2010/11/ac" url="C:\Users\WilliamLa\Desktop\MV2040 outcomes framework\mv2040_outcomes_framework\"/>
    </mc:Choice>
  </mc:AlternateContent>
  <xr:revisionPtr revIDLastSave="0" documentId="13_ncr:1_{7F64333C-E1FB-4549-A174-129E43A381F7}" xr6:coauthVersionLast="36" xr6:coauthVersionMax="36" xr10:uidLastSave="{00000000-0000-0000-0000-000000000000}"/>
  <bookViews>
    <workbookView xWindow="0" yWindow="0" windowWidth="23040" windowHeight="7995" tabRatio="538" firstSheet="2" activeTab="7" xr2:uid="{00000000-000D-0000-FFFF-FFFF00000000}"/>
    <workbookView xWindow="0" yWindow="0" windowWidth="22920" windowHeight="15240" firstSheet="1" activeTab="7" xr2:uid="{EDE946D3-B550-4852-B98C-D382147A5E7C}"/>
  </bookViews>
  <sheets>
    <sheet name="Targets Indicators Measures" sheetId="9" r:id="rId1"/>
    <sheet name="Additional indicators" sheetId="5" r:id="rId2"/>
    <sheet name="Themeing indicators" sheetId="7" r:id="rId3"/>
    <sheet name="Notes" sheetId="11" r:id="rId4"/>
    <sheet name="indicator_list" sheetId="12" r:id="rId5"/>
    <sheet name="inds_goals" sheetId="16" r:id="rId6"/>
    <sheet name="goals" sheetId="13" r:id="rId7"/>
    <sheet name="data" sheetId="14" r:id="rId8"/>
    <sheet name="data_format" sheetId="15" r:id="rId9"/>
  </sheets>
  <definedNames>
    <definedName name="_xlnm._FilterDatabase" localSheetId="1" hidden="1">'Additional indicators'!$B$2:$F$143</definedName>
    <definedName name="_xlnm._FilterDatabase" localSheetId="7" hidden="1">data!$A$1:$L$108</definedName>
    <definedName name="_xlnm._FilterDatabase" localSheetId="4" hidden="1">indicator_list!$A$1:$H$41</definedName>
    <definedName name="_xlnm._FilterDatabase" localSheetId="0" hidden="1">'Targets Indicators Measures'!$B$1:$AD$132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3" i="9" l="1"/>
  <c r="L33" i="9"/>
  <c r="S132" i="9" l="1"/>
  <c r="O132" i="9" s="1"/>
  <c r="R130" i="9"/>
  <c r="Q130" i="9"/>
  <c r="P130" i="9"/>
  <c r="O130" i="9"/>
  <c r="S128" i="9"/>
  <c r="R128" i="9" s="1"/>
  <c r="L126" i="9"/>
  <c r="P126" i="9" s="1"/>
  <c r="S125" i="9"/>
  <c r="R124" i="9"/>
  <c r="Q124" i="9"/>
  <c r="P124" i="9"/>
  <c r="O124" i="9"/>
  <c r="R120" i="9"/>
  <c r="Q120" i="9"/>
  <c r="P120" i="9"/>
  <c r="O120" i="9"/>
  <c r="R119" i="9"/>
  <c r="Q119" i="9"/>
  <c r="P119" i="9"/>
  <c r="O119" i="9"/>
  <c r="S117" i="9"/>
  <c r="R115" i="9"/>
  <c r="Q115" i="9"/>
  <c r="P115" i="9"/>
  <c r="O115" i="9"/>
  <c r="R114" i="9"/>
  <c r="Q114" i="9"/>
  <c r="P114" i="9"/>
  <c r="O114" i="9"/>
  <c r="R112" i="9"/>
  <c r="Q112" i="9"/>
  <c r="P112" i="9"/>
  <c r="O112" i="9"/>
  <c r="R110" i="9"/>
  <c r="Q110" i="9"/>
  <c r="P110" i="9"/>
  <c r="O110" i="9"/>
  <c r="R107" i="9"/>
  <c r="Q107" i="9"/>
  <c r="P107" i="9"/>
  <c r="O107" i="9"/>
  <c r="S106" i="9"/>
  <c r="R106" i="9" s="1"/>
  <c r="R101" i="9"/>
  <c r="Q101" i="9"/>
  <c r="P101" i="9"/>
  <c r="O101" i="9"/>
  <c r="S100" i="9"/>
  <c r="Q100" i="9" s="1"/>
  <c r="N97" i="9"/>
  <c r="L97" i="9"/>
  <c r="R97" i="9" s="1"/>
  <c r="R94" i="9"/>
  <c r="Q94" i="9"/>
  <c r="P94" i="9"/>
  <c r="O94" i="9"/>
  <c r="R93" i="9"/>
  <c r="S83" i="9"/>
  <c r="R83" i="9" s="1"/>
  <c r="R82" i="9"/>
  <c r="Q82" i="9"/>
  <c r="P82" i="9"/>
  <c r="O82" i="9"/>
  <c r="R81" i="9"/>
  <c r="Q81" i="9"/>
  <c r="P81" i="9"/>
  <c r="O81" i="9"/>
  <c r="L80" i="9"/>
  <c r="Q80" i="9" s="1"/>
  <c r="R75" i="9"/>
  <c r="Q75" i="9"/>
  <c r="P75" i="9"/>
  <c r="O75" i="9"/>
  <c r="S74" i="9"/>
  <c r="R74" i="9" s="1"/>
  <c r="S69" i="9"/>
  <c r="R63" i="9"/>
  <c r="Q63" i="9"/>
  <c r="P63" i="9"/>
  <c r="O63" i="9"/>
  <c r="R60" i="9"/>
  <c r="Q60" i="9"/>
  <c r="P60" i="9"/>
  <c r="O60" i="9"/>
  <c r="S58" i="9"/>
  <c r="O58" i="9" s="1"/>
  <c r="R55" i="9"/>
  <c r="Q55" i="9"/>
  <c r="P55" i="9"/>
  <c r="O55" i="9"/>
  <c r="R52" i="9"/>
  <c r="Q52" i="9"/>
  <c r="P52" i="9"/>
  <c r="O52" i="9"/>
  <c r="S49" i="9"/>
  <c r="P49" i="9" s="1"/>
  <c r="R44" i="9"/>
  <c r="Q44" i="9"/>
  <c r="P44" i="9"/>
  <c r="O44" i="9"/>
  <c r="R33" i="9"/>
  <c r="Q33" i="9"/>
  <c r="P33" i="9"/>
  <c r="O33" i="9"/>
  <c r="R20" i="9"/>
  <c r="Q20" i="9"/>
  <c r="P20" i="9"/>
  <c r="O20" i="9"/>
  <c r="R19" i="9"/>
  <c r="Q19" i="9"/>
  <c r="P19" i="9"/>
  <c r="O19" i="9"/>
  <c r="R18" i="9"/>
  <c r="Q18" i="9"/>
  <c r="P18" i="9"/>
  <c r="O18" i="9"/>
  <c r="R15" i="9"/>
  <c r="Q15" i="9"/>
  <c r="P15" i="9"/>
  <c r="O15" i="9"/>
  <c r="R9" i="9"/>
  <c r="Q9" i="9"/>
  <c r="P9" i="9"/>
  <c r="O9" i="9"/>
  <c r="R7" i="9"/>
  <c r="Q7" i="9"/>
  <c r="P7" i="9"/>
  <c r="O7" i="9"/>
  <c r="R2" i="9"/>
  <c r="Q2" i="9"/>
  <c r="P2" i="9"/>
  <c r="O2" i="9"/>
  <c r="Q58" i="9" l="1"/>
  <c r="Q74" i="9"/>
  <c r="P132" i="9"/>
  <c r="P74" i="9"/>
  <c r="R126" i="9"/>
  <c r="R80" i="9"/>
  <c r="O80" i="9"/>
  <c r="Q49" i="9"/>
  <c r="O126" i="9"/>
  <c r="Q126" i="9"/>
  <c r="O97" i="9"/>
  <c r="P97" i="9"/>
  <c r="Q97" i="9"/>
  <c r="P80" i="9"/>
  <c r="Q132" i="9"/>
  <c r="O83" i="9"/>
  <c r="P83" i="9"/>
  <c r="O74" i="9"/>
  <c r="Q83" i="9"/>
  <c r="P58" i="9"/>
  <c r="R49" i="9"/>
  <c r="R58" i="9"/>
  <c r="R100" i="9"/>
  <c r="O106" i="9"/>
  <c r="P106" i="9"/>
  <c r="R132" i="9"/>
  <c r="Q106" i="9"/>
  <c r="O128" i="9"/>
  <c r="O49" i="9"/>
  <c r="P128" i="9"/>
  <c r="Q128" i="9"/>
  <c r="O100" i="9"/>
  <c r="P100"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William Lai</author>
  </authors>
  <commentList>
    <comment ref="L74" authorId="0" shapeId="0" xr:uid="{00000000-0006-0000-0000-000001000000}">
      <text>
        <r>
          <rPr>
            <b/>
            <sz val="9"/>
            <color indexed="81"/>
            <rFont val="Tahoma"/>
            <family val="2"/>
          </rPr>
          <t>William Lai:</t>
        </r>
        <r>
          <rPr>
            <sz val="9"/>
            <color indexed="81"/>
            <rFont val="Tahoma"/>
            <family val="2"/>
          </rPr>
          <t xml:space="preserve">
60 successful grants /
127,883 population (2018 ERP)
* 100,000
</t>
        </r>
      </text>
    </comment>
    <comment ref="L81" authorId="0" shapeId="0" xr:uid="{00000000-0006-0000-0000-000002000000}">
      <text>
        <r>
          <rPr>
            <b/>
            <sz val="9"/>
            <color indexed="81"/>
            <rFont val="Tahoma"/>
            <family val="2"/>
          </rPr>
          <t>William Lai:</t>
        </r>
        <r>
          <rPr>
            <sz val="9"/>
            <color indexed="81"/>
            <rFont val="Tahoma"/>
            <family val="2"/>
          </rPr>
          <t xml:space="preserve">
interim figure only!!!
Calculated with straigt line distance instead of network distance</t>
        </r>
      </text>
    </comment>
    <comment ref="L105" authorId="0" shapeId="0" xr:uid="{00000000-0006-0000-0000-000003000000}">
      <text>
        <r>
          <rPr>
            <b/>
            <sz val="9"/>
            <color indexed="81"/>
            <rFont val="Tahoma"/>
            <family val="2"/>
          </rPr>
          <t>William Lai:</t>
        </r>
        <r>
          <rPr>
            <sz val="9"/>
            <color indexed="81"/>
            <rFont val="Tahoma"/>
            <family val="2"/>
          </rPr>
          <t xml:space="preserve">
really?</t>
        </r>
      </text>
    </comment>
    <comment ref="L112" authorId="0" shapeId="0" xr:uid="{00000000-0006-0000-0000-000004000000}">
      <text>
        <r>
          <rPr>
            <b/>
            <sz val="9"/>
            <color indexed="81"/>
            <rFont val="Tahoma"/>
            <family val="2"/>
          </rPr>
          <t>William Lai:</t>
        </r>
        <r>
          <rPr>
            <sz val="9"/>
            <color indexed="81"/>
            <rFont val="Tahoma"/>
            <family val="2"/>
          </rPr>
          <t xml:space="preserve">
+- 1% 
We should do this for the other indicators too</t>
        </r>
      </text>
    </comment>
    <comment ref="L124" authorId="0" shapeId="0" xr:uid="{00000000-0006-0000-0000-000005000000}">
      <text>
        <r>
          <rPr>
            <b/>
            <sz val="9"/>
            <color indexed="81"/>
            <rFont val="Tahoma"/>
            <family val="2"/>
          </rPr>
          <t>William Lai:</t>
        </r>
        <r>
          <rPr>
            <sz val="9"/>
            <color indexed="81"/>
            <rFont val="Tahoma"/>
            <family val="2"/>
          </rPr>
          <t xml:space="preserve">
around 75%</t>
        </r>
      </text>
    </comment>
  </commentList>
</comments>
</file>

<file path=xl/sharedStrings.xml><?xml version="1.0" encoding="utf-8"?>
<sst xmlns="http://schemas.openxmlformats.org/spreadsheetml/2006/main" count="3209" uniqueCount="773">
  <si>
    <t>FAIR</t>
  </si>
  <si>
    <t>Theme</t>
  </si>
  <si>
    <t>Category</t>
  </si>
  <si>
    <t>Other</t>
  </si>
  <si>
    <t>THRIVING</t>
  </si>
  <si>
    <t>CONNECTED</t>
  </si>
  <si>
    <t>GREEN</t>
  </si>
  <si>
    <t>BEAUTIFUL</t>
  </si>
  <si>
    <t>2040 Target</t>
  </si>
  <si>
    <t>Rationale</t>
  </si>
  <si>
    <t>Source</t>
  </si>
  <si>
    <t>ABS</t>
  </si>
  <si>
    <t>Victorian Population Health Survey</t>
  </si>
  <si>
    <t>Community survey</t>
  </si>
  <si>
    <t>Victoria Police, Crime Statistics Agency</t>
  </si>
  <si>
    <t>Council data</t>
  </si>
  <si>
    <t>LGPRF</t>
  </si>
  <si>
    <t>Diversity and inclusion (DI)</t>
  </si>
  <si>
    <t>Health and safety (HS)</t>
  </si>
  <si>
    <t>Business and employment (BE)</t>
  </si>
  <si>
    <t>Leisure and recreation (LR)</t>
  </si>
  <si>
    <t>Technology (T)</t>
  </si>
  <si>
    <t>Public transport (PT)</t>
  </si>
  <si>
    <t>Active transport (AT)</t>
  </si>
  <si>
    <t>Australian Early Development Census</t>
  </si>
  <si>
    <t>Remplan</t>
  </si>
  <si>
    <t>Council annual audit</t>
  </si>
  <si>
    <t xml:space="preserve">ABS, SGS </t>
  </si>
  <si>
    <t xml:space="preserve">ABS - Census of Population and Housing </t>
  </si>
  <si>
    <t>Community facilities (CF)
(includes services)</t>
  </si>
  <si>
    <t>LR - Number of public events</t>
  </si>
  <si>
    <t>Public events contibute to a vibrant community</t>
  </si>
  <si>
    <t>CR- Number of certified Green Star buildings</t>
  </si>
  <si>
    <t xml:space="preserve">Influencing sustainable building practices </t>
  </si>
  <si>
    <t>AT- Number of mobility enhanced crossings</t>
  </si>
  <si>
    <t>Improve ease of movement of pedestrians/cyclists</t>
  </si>
  <si>
    <t>CR- GHG emission corporate target (20% reduction below 1995 by 2010) and community target (15% reduction below 2007 by 2020 and 50% by 2050)</t>
  </si>
  <si>
    <t>PS - Park area improvement measured in sqm</t>
  </si>
  <si>
    <t>Reflects commitment to serve growing population with diverse needs in land strapped community</t>
  </si>
  <si>
    <t>LR - Number of visit to City library</t>
  </si>
  <si>
    <t xml:space="preserve">Key instituion supporting literacy and promoting social interaction </t>
  </si>
  <si>
    <t>BE -Number of home based businesses</t>
  </si>
  <si>
    <t>Help track employment levels in the City including ability to live and work in the same community</t>
  </si>
  <si>
    <t>The two measures when looked together helps assess the level of equity and inclusion</t>
  </si>
  <si>
    <t>DI - Income distribution and diversity index (percentage of times two randomly selected people differ by race/ethnicity - a higher number indicates more diversity)</t>
  </si>
  <si>
    <t xml:space="preserve">DI - Resident satisfaction with their neighbourhood and municipality (by 2035 95% are satisfied) </t>
  </si>
  <si>
    <t>Responses to this question say a lot about how services are distributed and how smoothly a city is running</t>
  </si>
  <si>
    <t>Although some students find an alternative path - finishing high school early, later or through alternative programs - the on-time high school graduation rate remains a solid indicator of support and preparedness for future success. It tells us about the strength of student support networks, and it indicates whether we are likely to have an able and well-trained workforce, critical to a strong economy and safe and healthy city</t>
  </si>
  <si>
    <t>DI - Percentage of households that are economically self-sufficient (90% by 2035) - income sufficient to meet the basic needs of most adults (inc housing, childcare, food, health care and transportation) based on service sector annual income</t>
  </si>
  <si>
    <t>BE -Number of jobs in the city (measuring job growth)</t>
  </si>
  <si>
    <t xml:space="preserve">PT - Percentage of residents who take transit </t>
  </si>
  <si>
    <t>Human health benefits, reduced carbon emissions</t>
  </si>
  <si>
    <t>HS - Percentage of residents who live in a complete neighbourhood (n'hood where people have safe and convenient access to the goods and services needed in daily life)</t>
  </si>
  <si>
    <t>Having safe, convenient and walkable access to schools, parks, a grocery store and transit can help reduce household transportation costs, make it easier to incorporate exercise into your daily life and reduce carbon emissions (20-minute neighbourhood index)</t>
  </si>
  <si>
    <t xml:space="preserve">PS -Access to parks and greenspace </t>
  </si>
  <si>
    <t>HS -Percentage of adults at a healthy weight</t>
  </si>
  <si>
    <t>Potential health impacts have adverse impact on quality of life, increase the risk of premature mortality and have a significant impact on household health costs</t>
  </si>
  <si>
    <t>HS -Percentage of residents that report feeling safe or very safe walking alone in their neighbourhood at night</t>
  </si>
  <si>
    <t xml:space="preserve">If residents do not feel safe they may be less likely to leave their homes or use certain public space. This reduced mobility can cause related social isolation and exacerbate health consequences </t>
  </si>
  <si>
    <t>H -Number of approve residential untis and non-residential GFA (gross floor area)</t>
  </si>
  <si>
    <t xml:space="preserve">The Plan is the City's principal tool for managing growth and development. The greater the magnitude of change, the greater the potential impact of the Plan to shape Toronto. This indicator provides context for the indicators that follow by showing the magnitude of change </t>
  </si>
  <si>
    <t>H -Percentage of approved development (residential and non-residential) occurring within 500 metres of existing or planned higher order transit</t>
  </si>
  <si>
    <t>The Plan directs growth to… in order to concentrate jbos and people in areas well served by surface transit and rapid transit stations</t>
  </si>
  <si>
    <t>BE -Percentage of fulltime and parttime jobs located in the city</t>
  </si>
  <si>
    <t xml:space="preserve">BE- Square metres of office space approved </t>
  </si>
  <si>
    <t>Creates positive climate for economic growth and commericla office development. The addition of office spaces will also contribute to the brader mix of uses</t>
  </si>
  <si>
    <t>PT/AT - Percentage of morning peak trips by mode for trips originating from within the city (car, walk/cycle, PT, shared)</t>
  </si>
  <si>
    <t xml:space="preserve">Parks and open spaces is a necessary element of city-building as the city grows and changes </t>
  </si>
  <si>
    <t>PS - New parkland area, acquisition and secured through development (measured in ha)</t>
  </si>
  <si>
    <t>PS - Number of dollar secured for public ar through the planning approval process</t>
  </si>
  <si>
    <t xml:space="preserve">DI - Percentage of residents who feel part of their community </t>
  </si>
  <si>
    <t>HS - Recorded crimes per 100,000 population</t>
  </si>
  <si>
    <t>This indicator seeks to identify people who may be at risk of a poor diet and nutrition due to their financial incapacity to purchase food, as well as a risk of social exclusion</t>
  </si>
  <si>
    <t>Communtiy Indicators Victoria</t>
  </si>
  <si>
    <t xml:space="preserve">HS - Food security - percentage of adult population who ran out of food in the last 12 months and could not afford to buy more </t>
  </si>
  <si>
    <t xml:space="preserve">VicHealth Survey/Community Indictors Victoria </t>
  </si>
  <si>
    <t xml:space="preserve">HS - Adequate work-life balance - Percentage of employed persons who agree that their work and familylife do not often interfere with each other </t>
  </si>
  <si>
    <t>DI - People who participated in arts and cultural activities in the last month, expressed as a percentage of the adult population</t>
  </si>
  <si>
    <t>Most types of arts involvement have a social dimension that is an important basis for building social capital and community identity. The arts, through their communicative power, enhance individual engagement wit hthe world in ways that have both personal and public benefits</t>
  </si>
  <si>
    <t>Communtiy Indicators Victoria Survey</t>
  </si>
  <si>
    <t>VicHealth Survey/Community Indictors Victoria Survey</t>
  </si>
  <si>
    <t>DI - People who agree that it is a good thing for a society to be made up of people from different cultures, expressed as percentage of the adult population</t>
  </si>
  <si>
    <t>Community Indicators Victoria Survey</t>
  </si>
  <si>
    <t>MV2040 Targets</t>
  </si>
  <si>
    <t>SD1 -Increase in rates of acceptance and celebration of cultural diversity</t>
  </si>
  <si>
    <t>SD1 -Increase in rates of acceptance and celebration of cultural diversity
SD1 - Increase in proportion of people who agree/understand of Aboriginal and Torres Strait Islander</t>
  </si>
  <si>
    <t xml:space="preserve">SD3-Improve mental wellbeing levels across our community </t>
  </si>
  <si>
    <t>SD3-Reduce diabetes (halt the rise) and the rate of obesity (5% by 2025)</t>
  </si>
  <si>
    <t>BE - On time  high school graduation rate (90% target in line with Germany, Japan and Norway)</t>
  </si>
  <si>
    <t>SD7 - A greater percentage of our community working within MV to be proximate to their homes</t>
  </si>
  <si>
    <t>SD7 - Thriving activity centres with low vacancy rates</t>
  </si>
  <si>
    <t>SD8- Increase in the number and frequency of neighbourhood events organised and operated by community members</t>
  </si>
  <si>
    <t>SD10- Improved accessibility to PT in each neighbourhood</t>
  </si>
  <si>
    <t>MV2040 Target/Indicator - improved accessibility measured by *number of people walking for short trips, *number of locals using PT, *number of people cycling, *investment improvements to PT</t>
  </si>
  <si>
    <t>SD13 - Achieve zero net emissions for the community by 2040
Achieve zero net emissions for Council's operations by 2020 and cont to reduce corp emissions by more than 95% by 2040</t>
  </si>
  <si>
    <t>SD20- All residents and workers are within an average 500m walking distance to quality open space by 2040</t>
  </si>
  <si>
    <t>HS - Total alcohol per capital (age 15+ years) consumption</t>
  </si>
  <si>
    <t>HS - Tobacco use among person aged 18+ years</t>
  </si>
  <si>
    <t>HS - Children aged under 5 years who are overweight</t>
  </si>
  <si>
    <t>HS - Raised blood pressure among adults, raised blood glucose/diabetes among adults</t>
  </si>
  <si>
    <t>HS - (access) service utlisation, health service access</t>
  </si>
  <si>
    <t>Strategic Direction</t>
  </si>
  <si>
    <t>1 – A city that celebrates diversity</t>
  </si>
  <si>
    <t>Moonee Valley is a ‘Welcome City’ where we celebrate diversity as one of our greatest strengths</t>
  </si>
  <si>
    <t>2 – A city with a strong network of accessible community facilities and services</t>
  </si>
  <si>
    <t>Moonee Valley is a city where residents report being satisfied or very satisfied with the number and condition of the community facilities and services in their neighbourhood</t>
  </si>
  <si>
    <t>3 – A city where people are healthy and safe</t>
  </si>
  <si>
    <t>Moonee Valley is a city where residents report their health as being very good and know how to access the appropriate services to manage their physical and mental health</t>
  </si>
  <si>
    <t>Our community feel very safe walking along in their neighbourhoods during the day and night</t>
  </si>
  <si>
    <t>4 – A city where residents can engage, participate and influence change</t>
  </si>
  <si>
    <t>Moonee Valley is a city where residents are able to influence decisions about their city and participate in social life</t>
  </si>
  <si>
    <t>5 – A city with housing for all</t>
  </si>
  <si>
    <t>Housing is appropriate across our city for all stages and circumstances of life</t>
  </si>
  <si>
    <t xml:space="preserve">Council Plan </t>
  </si>
  <si>
    <t>SD5 - Accommodate for housing diversity…</t>
  </si>
  <si>
    <t>6 – A city with opportunities to learn and work</t>
  </si>
  <si>
    <t>Moonee Valley is a city where residents have equitable access to lifelong learning, development and employment opportunities</t>
  </si>
  <si>
    <t>7 – A city that responds to a changing economic landscape</t>
  </si>
  <si>
    <t xml:space="preserve">Our economic environment facilitates thriving activity centres and new and emerging enterprise </t>
  </si>
  <si>
    <t>8 – A city with things to see and do</t>
  </si>
  <si>
    <t>Across Moonee Valley  there is increased participation and value placed in the arts, sport, culture and community-run events</t>
  </si>
  <si>
    <t>9 – A city that is technology ready</t>
  </si>
  <si>
    <t>Moonee Valley embraces a technology first approach to creatively meet the challenges we face</t>
  </si>
  <si>
    <t>10 – A city where sustainable transport is the easy option</t>
  </si>
  <si>
    <t>More than half of our residents travel to work by walking, cycling or public transport</t>
  </si>
  <si>
    <r>
      <t xml:space="preserve">11 – A city with streets and spaces for </t>
    </r>
    <r>
      <rPr>
        <u/>
        <sz val="11"/>
        <color theme="1"/>
        <rFont val="Calibri"/>
        <family val="2"/>
        <scheme val="minor"/>
      </rPr>
      <t>all</t>
    </r>
    <r>
      <rPr>
        <sz val="11"/>
        <color theme="1"/>
        <rFont val="Calibri"/>
        <family val="2"/>
        <scheme val="minor"/>
      </rPr>
      <t xml:space="preserve"> people</t>
    </r>
  </si>
  <si>
    <t>We prioritise our cyclists and pedestrians of all mobilities by achieving a safe network of connected walking and cycling paths</t>
  </si>
  <si>
    <t>12 – A city at the forefront of transport technology</t>
  </si>
  <si>
    <t>13 – A city that is low carbon</t>
  </si>
  <si>
    <t>We achieve zero net emissions for our community and reduce emissions from Council operations by 95% by 2040</t>
  </si>
  <si>
    <t>14 – A city that is green and water sensitive</t>
  </si>
  <si>
    <t>We achieve 30% canopy cover by 2040 through enhancing our urban forest</t>
  </si>
  <si>
    <t>15 – A city that rethinks waste</t>
  </si>
  <si>
    <t>We divert 90% of household waste and waste from Council operations from landfill by 2040</t>
  </si>
  <si>
    <t>16 – A city that is cool and climate-adapted</t>
  </si>
  <si>
    <t>Our city achieves climate resilience through supporting the community and planning a built environment that adapts to a changing climate</t>
  </si>
  <si>
    <t>17 – A city that fosters local identity</t>
  </si>
  <si>
    <t>We celebrate our rich heritage and value our cultural links to Wurundjeri country</t>
  </si>
  <si>
    <t xml:space="preserve">18 – A city of high quality design </t>
  </si>
  <si>
    <t>We achieve design excellence in all Council-owned buildings and facilities, and ensure their accessibility for all in our community</t>
  </si>
  <si>
    <t>20 – A city in a beautiful landscape setting</t>
  </si>
  <si>
    <t>We achieve a connected network of high quality open space that is appropriate to the needs of our community</t>
  </si>
  <si>
    <t>Indicator origin/alignment</t>
  </si>
  <si>
    <t>National Cities Indicator</t>
  </si>
  <si>
    <t>?</t>
  </si>
  <si>
    <t xml:space="preserve">Other </t>
  </si>
  <si>
    <t xml:space="preserve">LGPRF </t>
  </si>
  <si>
    <t>Council Plan / Health indicator</t>
  </si>
  <si>
    <t>Indicator from Tim?</t>
  </si>
  <si>
    <t>Yes</t>
  </si>
  <si>
    <t xml:space="preserve">Yes </t>
  </si>
  <si>
    <t xml:space="preserve">Council data </t>
  </si>
  <si>
    <t xml:space="preserve">Community Survey </t>
  </si>
  <si>
    <t>Participation in first MCH home visit</t>
  </si>
  <si>
    <t>Infant enrolments in MCH service</t>
  </si>
  <si>
    <t xml:space="preserve">Participation in MCH service </t>
  </si>
  <si>
    <t>Participation in MCH service by Aboriginal Children</t>
  </si>
  <si>
    <t>Vaccination of children by Council</t>
  </si>
  <si>
    <t xml:space="preserve">Council plan </t>
  </si>
  <si>
    <t>Local Gov Vic Community Satisfaction Survey LGPRF</t>
  </si>
  <si>
    <t>Council Plan / health indicator  and National Cities Indicator</t>
  </si>
  <si>
    <t>Library collection usage</t>
  </si>
  <si>
    <t>Council data - check what with Malcolm</t>
  </si>
  <si>
    <t xml:space="preserve">Better Approvals Data to confirm new businesses? </t>
  </si>
  <si>
    <t xml:space="preserve">yes </t>
  </si>
  <si>
    <t>Council Plan / health indicator</t>
  </si>
  <si>
    <t>Number and description of road reviews and speeds dropped below the default speed limit of 50km/h. 
Number and description of investigations and implementation of a lower speed limits (30km/h) in activity areas. 
Road casualty data 
Other data sources: Road Safety Strategy</t>
  </si>
  <si>
    <t>Number of electric vehicle charging stations in Moonee Valley</t>
  </si>
  <si>
    <t xml:space="preserve">Green Action Plan </t>
  </si>
  <si>
    <t xml:space="preserve">Council Data </t>
  </si>
  <si>
    <t>Ys</t>
  </si>
  <si>
    <t xml:space="preserve">LGPRF, Sustainability Victoria </t>
  </si>
  <si>
    <t xml:space="preserve">Measure of success </t>
  </si>
  <si>
    <t xml:space="preserve">Diverse and inclusive </t>
  </si>
  <si>
    <t xml:space="preserve">Engaged citizens </t>
  </si>
  <si>
    <t xml:space="preserve">Affordable housing </t>
  </si>
  <si>
    <t xml:space="preserve">Employment and learning opportunities </t>
  </si>
  <si>
    <t>Growing business</t>
  </si>
  <si>
    <t xml:space="preserve">Active transport </t>
  </si>
  <si>
    <t xml:space="preserve">Reduced carbon emissions </t>
  </si>
  <si>
    <t>Water sensitive</t>
  </si>
  <si>
    <t>Reduced waste</t>
  </si>
  <si>
    <t>Beautiful spaces</t>
  </si>
  <si>
    <t>People are engaged</t>
  </si>
  <si>
    <t>People travel sustainably</t>
  </si>
  <si>
    <t xml:space="preserve">20-minute neighbourhoods </t>
  </si>
  <si>
    <t xml:space="preserve">How do we frame? </t>
  </si>
  <si>
    <t>Healthy and safe</t>
  </si>
  <si>
    <t xml:space="preserve">Employment and learning </t>
  </si>
  <si>
    <t>Services that meet needs</t>
  </si>
  <si>
    <t>Active and sustainable transport</t>
  </si>
  <si>
    <t xml:space="preserve">Carbon emissions </t>
  </si>
  <si>
    <t>Waste</t>
  </si>
  <si>
    <t xml:space="preserve">Parks and gardens </t>
  </si>
  <si>
    <t>Goal statement</t>
  </si>
  <si>
    <t xml:space="preserve">People are healthy and safe </t>
  </si>
  <si>
    <t>Welcoming and inclusive</t>
  </si>
  <si>
    <t xml:space="preserve">Services and facilities meet local needs </t>
  </si>
  <si>
    <t xml:space="preserve">People walk and cycle </t>
  </si>
  <si>
    <t>Beautiful neighbourhoods</t>
  </si>
  <si>
    <t>Getting around is easy</t>
  </si>
  <si>
    <t>Year of baseline</t>
  </si>
  <si>
    <t>Result</t>
  </si>
  <si>
    <t>Level of progress towards zero trauma vision and prioritising the safe systems approach</t>
  </si>
  <si>
    <t>Housing</t>
  </si>
  <si>
    <t>Transport technology</t>
  </si>
  <si>
    <t xml:space="preserve">Climate resilience </t>
  </si>
  <si>
    <t xml:space="preserve">Public space </t>
  </si>
  <si>
    <t>Heritage</t>
  </si>
  <si>
    <t xml:space="preserve">Business and technology </t>
  </si>
  <si>
    <t>Potential measures of success statement</t>
  </si>
  <si>
    <t>Origin</t>
  </si>
  <si>
    <t xml:space="preserve">Corina's spreadsheet </t>
  </si>
  <si>
    <t xml:space="preserve">Tim's Framework </t>
  </si>
  <si>
    <t>Crime rates, including Family Violence reporting (source:Police)</t>
  </si>
  <si>
    <r>
      <t># community based activities and events (source: Neighbourhood Coordination dashboard) (Diana Amato</t>
    </r>
    <r>
      <rPr>
        <sz val="8"/>
        <color theme="1"/>
        <rFont val="Calibri"/>
        <family val="2"/>
        <scheme val="minor"/>
      </rPr>
      <t> </t>
    </r>
    <r>
      <rPr>
        <sz val="11"/>
        <color theme="1"/>
        <rFont val="Calibri"/>
        <family val="2"/>
        <scheme val="minor"/>
      </rPr>
      <t>)</t>
    </r>
  </si>
  <si>
    <r>
      <t>Application of Australian building standards for access and mobility (Venta feedback</t>
    </r>
    <r>
      <rPr>
        <sz val="8"/>
        <color theme="1"/>
        <rFont val="Calibri"/>
        <family val="2"/>
        <scheme val="minor"/>
      </rPr>
      <t> </t>
    </r>
    <r>
      <rPr>
        <sz val="11"/>
        <color theme="1"/>
        <rFont val="Calibri"/>
        <family val="2"/>
        <scheme val="minor"/>
      </rPr>
      <t>)</t>
    </r>
  </si>
  <si>
    <r>
      <t>Use of ‘age friendly’ streetscape principles</t>
    </r>
    <r>
      <rPr>
        <sz val="8"/>
        <color theme="1"/>
        <rFont val="Calibri"/>
        <family val="2"/>
        <scheme val="minor"/>
      </rPr>
      <t> </t>
    </r>
    <r>
      <rPr>
        <sz val="11"/>
        <color theme="1"/>
        <rFont val="Calibri"/>
        <family val="2"/>
        <scheme val="minor"/>
      </rPr>
      <t xml:space="preserve"> (Venta? – not too sure but can’t think who else it would have been)</t>
    </r>
  </si>
  <si>
    <r>
      <t> </t>
    </r>
    <r>
      <rPr>
        <sz val="10"/>
        <color theme="1"/>
        <rFont val="Calibri"/>
        <family val="2"/>
        <scheme val="minor"/>
      </rPr>
      <t>Perhaps Valley View is a better source for this?</t>
    </r>
  </si>
  <si>
    <r>
      <t> </t>
    </r>
    <r>
      <rPr>
        <sz val="10"/>
        <color theme="1"/>
        <rFont val="Calibri"/>
        <family val="2"/>
        <scheme val="minor"/>
      </rPr>
      <t>Number of pojects/all projects?</t>
    </r>
  </si>
  <si>
    <r>
      <t> </t>
    </r>
    <r>
      <rPr>
        <sz val="10"/>
        <color theme="1"/>
        <rFont val="Calibri"/>
        <family val="2"/>
        <scheme val="minor"/>
      </rPr>
      <t>Is this around the amount (sqm) of ‘age friendly’ streetscape? The number of projects?</t>
    </r>
  </si>
  <si>
    <t>Cooperation with Wurundjeri Elders (Juliane Reissle re 1.1 and mentions data is from Jorene))</t>
  </si>
  <si>
    <t xml:space="preserve"># of referrals to Council services, per service type (Juliane Reissle feedback on action 2.1.1) </t>
  </si>
  <si>
    <t>Participation rate per service type (my own, knowing it would be available)</t>
  </si>
  <si>
    <t xml:space="preserve">Council program evaluations and consultations (Juliane Reissle re evaluations for programs etc see feedback on 2.1.1) </t>
  </si>
  <si>
    <t>Program evaluations, such as Healthy Ageing Ambassadors evaluation</t>
  </si>
  <si>
    <t>Healthy Ageing Reference Group minutes (Juliane Reissle re 4.2.2)</t>
  </si>
  <si>
    <t>Active Ageing Reference Group minutes(Juliane Reissle re 4.2.2)</t>
  </si>
  <si>
    <t>Rainbow Tick Continuous Improvement plan(Juliane Reissle re 4.1.2)</t>
  </si>
  <si>
    <t>Disability advisory committee (survey) (Jasmine Graham feedback, given through Luke Naimo email)</t>
  </si>
  <si>
    <t>Dementia-friendly communities project reports (Juliane Reissle)</t>
  </si>
  <si>
    <t># of Mental health first aid trainings delivered (Juliane Reissle feedback)</t>
  </si>
  <si>
    <t>Mental health champions program(Juliane Reissle feedback)</t>
  </si>
  <si>
    <t>Council Local laws data (my own based on responding to data required to evidence actions)</t>
  </si>
  <si>
    <r>
      <t>Your Say online engagement portal (Diana Amato</t>
    </r>
    <r>
      <rPr>
        <sz val="8"/>
        <color theme="1"/>
        <rFont val="Calibri"/>
        <family val="2"/>
        <scheme val="minor"/>
      </rPr>
      <t> </t>
    </r>
    <r>
      <rPr>
        <sz val="11"/>
        <color rgb="FF000000"/>
        <rFont val="Calibri"/>
        <family val="2"/>
        <scheme val="minor"/>
      </rPr>
      <t>)</t>
    </r>
  </si>
  <si>
    <t>LBTIQ engagement (source: Rainbow Tick Continuous Improvement plan)</t>
  </si>
  <si>
    <t>Community Engagement Framework (Julianne Reissle feedback on action 4.1.1)</t>
  </si>
  <si>
    <t>Neighbourhood Empowerment Framework* - Local Government Act stipulation that Councils have a community engagement framework (Diana Amato)</t>
  </si>
  <si>
    <t>Healthy Ageing Ambassadors Project (Julianne Reissle)</t>
  </si>
  <si>
    <t>Women’s Leadership Program – Stepping Stones program data (Malcolm from eco dev feedback)</t>
  </si>
  <si>
    <t>Council facilitated community reference groups – minutes and plans (e.g. see Julianne Reissle feedback on action 4.1. and mentions Active Ageing Reference group)</t>
  </si>
  <si>
    <t>Neighbourhood Advisory Committees (Diana Amato)</t>
  </si>
  <si>
    <r>
      <t>Community involvement in the Council Plan and budget</t>
    </r>
    <r>
      <rPr>
        <sz val="8"/>
        <color theme="1"/>
        <rFont val="Calibri"/>
        <family val="2"/>
        <scheme val="minor"/>
      </rPr>
      <t> </t>
    </r>
  </si>
  <si>
    <r>
      <t> </t>
    </r>
    <r>
      <rPr>
        <sz val="10"/>
        <color theme="1"/>
        <rFont val="Calibri"/>
        <family val="2"/>
        <scheme val="minor"/>
      </rPr>
      <t xml:space="preserve"> Number of people participating?</t>
    </r>
  </si>
  <si>
    <r>
      <t> </t>
    </r>
    <r>
      <rPr>
        <sz val="10"/>
        <color theme="1"/>
        <rFont val="Calibri"/>
        <family val="2"/>
        <scheme val="minor"/>
      </rPr>
      <t>As will be required under the new local government act</t>
    </r>
  </si>
  <si>
    <t>Disaggregated consultation and engagement data, for example:    Number of cultural consultants employed to deliver community engagement activities (Flemington works) (source: Lauren Kerr)
  Qualitative data collected from co-design approaches with young people and women (Flemington works) (source: Lauren Kerr)</t>
  </si>
  <si>
    <r>
      <t>Number of affordable rentals (based on figures from the DHHS Rental Report – released quarterly</t>
    </r>
    <r>
      <rPr>
        <sz val="8"/>
        <color theme="1"/>
        <rFont val="Calibri"/>
        <family val="2"/>
        <scheme val="minor"/>
      </rPr>
      <t> </t>
    </r>
    <r>
      <rPr>
        <sz val="11"/>
        <color theme="1"/>
        <rFont val="Calibri"/>
        <family val="2"/>
        <scheme val="minor"/>
      </rPr>
      <t>)</t>
    </r>
  </si>
  <si>
    <r>
      <t> </t>
    </r>
    <r>
      <rPr>
        <sz val="10"/>
        <color theme="1"/>
        <rFont val="Calibri"/>
        <family val="2"/>
        <scheme val="minor"/>
      </rPr>
      <t>Or percentage of rentals advertised that are affordable from the same source</t>
    </r>
  </si>
  <si>
    <t>Homelessness roundtable minutes and plans (Juliane Reissle re 5.3.5 and mentions contact for more info as Luke Naimo)</t>
  </si>
  <si>
    <t>Availability of public, social and community housing (my own based on action area)</t>
  </si>
  <si>
    <t>Waiting lists for public, social and community housing (my own based on action area)</t>
  </si>
  <si>
    <r>
      <t>Flemington Education plan data</t>
    </r>
    <r>
      <rPr>
        <u/>
        <sz val="11"/>
        <color rgb="FF008080"/>
        <rFont val="Calibri"/>
        <family val="2"/>
        <scheme val="minor"/>
      </rPr>
      <t xml:space="preserve"> (Diana Amato mentions Kate is involved in this)</t>
    </r>
  </si>
  <si>
    <r>
      <t>Children and Family services 3-4 kindergarten data</t>
    </r>
    <r>
      <rPr>
        <u/>
        <sz val="11"/>
        <color rgb="FF008080"/>
        <rFont val="Calibri"/>
        <family val="2"/>
        <scheme val="minor"/>
      </rPr>
      <t xml:space="preserve"> (As above relates to Diana’s feedback that the education plan team might have data to share)</t>
    </r>
    <r>
      <rPr>
        <strike/>
        <sz val="11"/>
        <color rgb="FFFF0000"/>
        <rFont val="Calibri"/>
        <family val="2"/>
        <scheme val="minor"/>
      </rPr>
      <t xml:space="preserve"> </t>
    </r>
  </si>
  <si>
    <t>Community Connectors project evaluation</t>
  </si>
  <si>
    <r>
      <t xml:space="preserve">Number/description - of education facilities being built or repurposed </t>
    </r>
    <r>
      <rPr>
        <u/>
        <sz val="11"/>
        <color rgb="FF008080"/>
        <rFont val="Calibri"/>
        <family val="2"/>
        <scheme val="minor"/>
      </rPr>
      <t>(Will –community facilities feedback)</t>
    </r>
  </si>
  <si>
    <r>
      <t> </t>
    </r>
    <r>
      <rPr>
        <sz val="10"/>
        <color theme="1"/>
        <rFont val="Calibri"/>
        <family val="2"/>
        <scheme val="minor"/>
      </rPr>
      <t>As in the number of schools that we are advocating for? I don’t recall discussing this. Is this someone else?</t>
    </r>
  </si>
  <si>
    <t>Crown St/Clocktower trainee program data (Jasmine Graham feedback, through email from Luke Naimo)</t>
  </si>
  <si>
    <t>Flemington works data – occupation type/employer type - for women and young people who have secured roles through Flemington Works. (source: Lauren Kerr)</t>
  </si>
  <si>
    <t>Number of employment outcomes/ hours worked - through MVCC Labour Hire (source: Lauren Kerr)</t>
  </si>
  <si>
    <t>Number of paid internships delivered/ hours worked (Lauren Kerr)</t>
  </si>
  <si>
    <t>Number of Council contracts with social impact recruitment targets (Lauren Kerr)</t>
  </si>
  <si>
    <t>Number of residents (e.g. living in social housing) employed/hours worked through social procurement targets (Lauren Kerr)</t>
  </si>
  <si>
    <t>Number of work placements in Council by local residents (perhaps young residents, perhaps number of days) per year</t>
  </si>
  <si>
    <t>Activation planning surveys</t>
  </si>
  <si>
    <t>Trader association meeting minutes</t>
  </si>
  <si>
    <t xml:space="preserve">Trader association business plans </t>
  </si>
  <si>
    <t>Economic Development events, training and coaching – attendance and evaluation</t>
  </si>
  <si>
    <t># new enterprises established</t>
  </si>
  <si>
    <t>Co-working space utilisation data</t>
  </si>
  <si>
    <t>Number/sqm of multi-purpose spaces available  for community arts practice and exhibitions (relates to Will community facilities feedback – 8.3.1 &amp; 8.3.2)</t>
  </si>
  <si>
    <t>Number of arts activities that take place across each neighbourhood (my own basic measure based on the type of actions listed)</t>
  </si>
  <si>
    <t>Attendance at events (counts using sensors in smart infrastructure) – currently we have estimates</t>
  </si>
  <si>
    <r>
      <t>Number of unique uses/sports per Council facility</t>
    </r>
    <r>
      <rPr>
        <sz val="8"/>
        <color theme="1"/>
        <rFont val="Calibri"/>
        <family val="2"/>
        <scheme val="minor"/>
      </rPr>
      <t> </t>
    </r>
  </si>
  <si>
    <r>
      <t>Description of economic and social impact of Moonee Valley Racecourse, including jobs figures and number of events</t>
    </r>
    <r>
      <rPr>
        <sz val="8"/>
        <color theme="1"/>
        <rFont val="Calibri"/>
        <family val="2"/>
        <scheme val="minor"/>
      </rPr>
      <t> </t>
    </r>
    <r>
      <rPr>
        <sz val="11"/>
        <color theme="1"/>
        <rFont val="Calibri"/>
        <family val="2"/>
        <scheme val="minor"/>
      </rPr>
      <t>. (Malcolm eco dev)</t>
    </r>
  </si>
  <si>
    <t>Sports participation data based on information collected by Activations, Sport and Recreation</t>
  </si>
  <si>
    <r>
      <t> </t>
    </r>
    <r>
      <rPr>
        <sz val="10"/>
        <color theme="1"/>
        <rFont val="Calibri"/>
        <family val="2"/>
        <scheme val="minor"/>
      </rPr>
      <t>A mean or median across all facilities? Separation based on the type of facilities? The uses would need to be defined.</t>
    </r>
  </si>
  <si>
    <r>
      <t> </t>
    </r>
    <r>
      <rPr>
        <sz val="10"/>
        <color theme="1"/>
        <rFont val="Calibri"/>
        <family val="2"/>
        <scheme val="minor"/>
      </rPr>
      <t>Maybe we could get Spendmapp and track spending at events and compare this to spending in general?</t>
    </r>
  </si>
  <si>
    <t>Number of activity centres with public wi-fi (Will – community infrastructure feedback)</t>
  </si>
  <si>
    <t>$ invested to realise smart city objectives (Will – community infrastructure feedback)</t>
  </si>
  <si>
    <t xml:space="preserve">Number of suburbs with NBN take-up </t>
  </si>
  <si>
    <t>Description of infrastructure upgrades that promote sustainable transport use</t>
  </si>
  <si>
    <t>Public Transport Advocacy: data source - Council Advocacy Strategy</t>
  </si>
  <si>
    <t>Description of Council advocacy to improve Disability Discrimination Act (DDA) compliant public transport e.g. accessible tram stops</t>
  </si>
  <si>
    <r>
      <t>Proportion of public transport services that are frequent</t>
    </r>
    <r>
      <rPr>
        <sz val="8"/>
        <color theme="1"/>
        <rFont val="Calibri"/>
        <family val="2"/>
        <scheme val="minor"/>
      </rPr>
      <t> </t>
    </r>
  </si>
  <si>
    <t xml:space="preserve">Using liveability indicators definition </t>
  </si>
  <si>
    <t>Number and description of designated MV2040 walking and cycling infrastructure projects</t>
  </si>
  <si>
    <t>We could install some bike counters (some other councils have them) to count how many bikes have used particular sections of track</t>
  </si>
  <si>
    <r>
      <t>Number and description of road reviews and speeds dropped below the default speed limit of 50km/h</t>
    </r>
    <r>
      <rPr>
        <sz val="8"/>
        <color theme="1"/>
        <rFont val="Calibri"/>
        <family val="2"/>
        <scheme val="minor"/>
      </rPr>
      <t> </t>
    </r>
    <r>
      <rPr>
        <sz val="11"/>
        <color theme="1"/>
        <rFont val="Calibri"/>
        <family val="2"/>
        <scheme val="minor"/>
      </rPr>
      <t xml:space="preserve">. </t>
    </r>
  </si>
  <si>
    <t>Number and description of investigations and implementation of a lower speed limits (30km/h) in activity areas.</t>
  </si>
  <si>
    <t xml:space="preserve">Road casualty data </t>
  </si>
  <si>
    <t>Other data sources: Road Safety Strategy</t>
  </si>
  <si>
    <r>
      <t> </t>
    </r>
    <r>
      <rPr>
        <sz val="10"/>
        <color theme="1"/>
        <rFont val="Calibri"/>
        <family val="2"/>
        <scheme val="minor"/>
      </rPr>
      <t>Is this more around the km of roads?</t>
    </r>
  </si>
  <si>
    <t>Description of future proofing activities to accommodate emerging technologies e.g. car parks designed for retrofitting of electric vehicle charging stations.</t>
  </si>
  <si>
    <t>Outcomes from new parking technology testing throughout municipality.</t>
  </si>
  <si>
    <r>
      <t>Council’s carbon inventory - reported annually</t>
    </r>
    <r>
      <rPr>
        <u/>
        <sz val="11"/>
        <color rgb="FF008080"/>
        <rFont val="Calibri"/>
        <family val="2"/>
        <scheme val="minor"/>
      </rPr>
      <t xml:space="preserve"> (Sarah Wigley)</t>
    </r>
  </si>
  <si>
    <r>
      <t xml:space="preserve">% of efficient street lighting upgraded/installed </t>
    </r>
    <r>
      <rPr>
        <u/>
        <sz val="11"/>
        <color rgb="FF008080"/>
        <rFont val="Calibri"/>
        <family val="2"/>
        <scheme val="minor"/>
      </rPr>
      <t>(Will – community infrastructure feedback)</t>
    </r>
  </si>
  <si>
    <r>
      <t>Staff travel – internal records.</t>
    </r>
    <r>
      <rPr>
        <u/>
        <sz val="11"/>
        <color rgb="FF008080"/>
        <rFont val="Calibri"/>
        <family val="2"/>
        <scheme val="minor"/>
      </rPr>
      <t xml:space="preserve"> (Sarah Wigley)</t>
    </r>
  </si>
  <si>
    <r>
      <t>Office paper usage – Council photocopiers monitoring software.</t>
    </r>
    <r>
      <rPr>
        <u/>
        <sz val="11"/>
        <color rgb="FF008080"/>
        <rFont val="Calibri"/>
        <family val="2"/>
        <scheme val="minor"/>
      </rPr>
      <t xml:space="preserve"> (Sarah Wigley)</t>
    </r>
  </si>
  <si>
    <r>
      <t>Number and description of new Council buildings designed and reviewed for ESD and adhering to Council’s Sustainable Buildings and Facilities Guideline.</t>
    </r>
    <r>
      <rPr>
        <u/>
        <sz val="11"/>
        <color rgb="FF008080"/>
        <rFont val="Calibri"/>
        <family val="2"/>
        <scheme val="minor"/>
      </rPr>
      <t xml:space="preserve"> (Sarah Wigley)</t>
    </r>
  </si>
  <si>
    <r>
      <t xml:space="preserve">Number and description Current Council buildings measured for ESD performance and rectification measures implemented. </t>
    </r>
    <r>
      <rPr>
        <u/>
        <sz val="11"/>
        <color rgb="FF008080"/>
        <rFont val="Calibri"/>
        <family val="2"/>
        <scheme val="minor"/>
      </rPr>
      <t>(Sarah Wigley)</t>
    </r>
  </si>
  <si>
    <t># water sensitive treatments applied in road infrastructure (Venta)</t>
  </si>
  <si>
    <t>Stormwater harvesting and reuse targets (wetland designs within open space) (Venta)</t>
  </si>
  <si>
    <t>Number/sqm of community gardens (Will – Community infrastructure focus)</t>
  </si>
  <si>
    <t>Walter St reserve: informal growing trial site (Venta feedback)</t>
  </si>
  <si>
    <t>Crown St Stables - community feedback (Juliane Reissle re 14.5)</t>
  </si>
  <si>
    <t>Sqm of community managed urban agriculture – including planter boxes (Will – Community infrastructure focus)</t>
  </si>
  <si>
    <r>
      <t># “How to prepare in extreme weather” brochures sent out</t>
    </r>
    <r>
      <rPr>
        <u/>
        <sz val="11"/>
        <color rgb="FF008080"/>
        <rFont val="Calibri"/>
        <family val="2"/>
        <scheme val="minor"/>
      </rPr>
      <t>(Juliane Reissle re 16.3)</t>
    </r>
  </si>
  <si>
    <r>
      <t># welfare checks undertaken due to extreme weather</t>
    </r>
    <r>
      <rPr>
        <u/>
        <sz val="11"/>
        <color rgb="FF008080"/>
        <rFont val="Calibri"/>
        <family val="2"/>
        <scheme val="minor"/>
      </rPr>
      <t xml:space="preserve"> (Juliane Reissle re 16.3)</t>
    </r>
  </si>
  <si>
    <r>
      <t>Description/number - of new or repurposed facilities applying design panel/external design expertise to inform space</t>
    </r>
    <r>
      <rPr>
        <u/>
        <sz val="11"/>
        <color rgb="FF008080"/>
        <rFont val="Calibri"/>
        <family val="2"/>
        <scheme val="minor"/>
      </rPr>
      <t xml:space="preserve"> (ER &amp; William – community facilities feedback on 16.1.14) </t>
    </r>
  </si>
  <si>
    <r>
      <t>Number of buildings designed to be habitable when the power is off.</t>
    </r>
    <r>
      <rPr>
        <u/>
        <sz val="11"/>
        <color rgb="FF008080"/>
        <rFont val="Calibri"/>
        <family val="2"/>
        <scheme val="minor"/>
      </rPr>
      <t xml:space="preserve"> (Sarah Wigley)</t>
    </r>
  </si>
  <si>
    <r>
      <t xml:space="preserve">Solar reflective roof coatings installed on community buildings. </t>
    </r>
    <r>
      <rPr>
        <u/>
        <sz val="11"/>
        <color rgb="FF008080"/>
        <rFont val="Calibri"/>
        <family val="2"/>
        <scheme val="minor"/>
      </rPr>
      <t>(might have been from a draft action plan in Sarah’s area I think – could ask her. Its specific so its from a council source, but can’t recall which one)</t>
    </r>
  </si>
  <si>
    <t>Sqm of bioswales/raingardens or other WSUD features. Maybe something around the amount of water diverted from stormwater drains via WSUD features if that is something that can be measured</t>
  </si>
  <si>
    <t>Description of outcomes achieved through meetings with Wurundjeri Council (Diana Amato mentions Sam Buckley meets with Wurundjeri Council)</t>
  </si>
  <si>
    <t>Number of cultural consultations conducted per calendar year (Diana Amato, as above)</t>
  </si>
  <si>
    <r>
      <t xml:space="preserve">Number of </t>
    </r>
    <r>
      <rPr>
        <sz val="11"/>
        <color theme="1"/>
        <rFont val="Calibri"/>
        <family val="2"/>
        <scheme val="minor"/>
      </rPr>
      <t>Woi-wurrung language signs across Moonee Valley’s, open spaces and parkland (Will – community infrastructure feedback</t>
    </r>
    <r>
      <rPr>
        <sz val="8"/>
        <color theme="1"/>
        <rFont val="Calibri"/>
        <family val="2"/>
        <scheme val="minor"/>
      </rPr>
      <t> </t>
    </r>
    <r>
      <rPr>
        <sz val="11"/>
        <color theme="1"/>
        <rFont val="Calibri"/>
        <family val="2"/>
        <scheme val="minor"/>
      </rPr>
      <t>)</t>
    </r>
  </si>
  <si>
    <r>
      <t> </t>
    </r>
    <r>
      <rPr>
        <sz val="10"/>
        <color theme="1"/>
        <rFont val="Calibri"/>
        <family val="2"/>
        <scheme val="minor"/>
      </rPr>
      <t>Should this be more around the hectares of land protected?</t>
    </r>
  </si>
  <si>
    <t>% of gross area that is parkland</t>
  </si>
  <si>
    <t>I imagine that this would be at a neighbourhood or municipal level.</t>
  </si>
  <si>
    <t xml:space="preserve">Water sensitive </t>
  </si>
  <si>
    <t xml:space="preserve">Indicators from Tim's draft </t>
  </si>
  <si>
    <t>Level of social inclusion</t>
  </si>
  <si>
    <r>
      <t xml:space="preserve">Engagement with Aboriginal and Torres Strait Islander peoples </t>
    </r>
    <r>
      <rPr>
        <sz val="8"/>
        <color theme="1"/>
        <rFont val="Calibri"/>
        <family val="2"/>
        <scheme val="minor"/>
      </rPr>
      <t> </t>
    </r>
  </si>
  <si>
    <t xml:space="preserve">Accessibility of Council services and facilities </t>
  </si>
  <si>
    <t>Satisfaction with Council services and facilities</t>
  </si>
  <si>
    <t>Perceptions of safety</t>
  </si>
  <si>
    <t>Level of crime</t>
  </si>
  <si>
    <t>Level of resident consultation and engagement</t>
  </si>
  <si>
    <t>Access to diverse and affordable housing</t>
  </si>
  <si>
    <t>Level of homelessness</t>
  </si>
  <si>
    <t>Use of new technology and data sharing to improve outcomes for residents and business</t>
  </si>
  <si>
    <t>Increase in travel to work by walking, cycling or public transport</t>
  </si>
  <si>
    <t>Coordinated planning of pedestrian and cycling infrastructure</t>
  </si>
  <si>
    <t xml:space="preserve">Use of technology to improve transport connectivity </t>
  </si>
  <si>
    <r>
      <rPr>
        <sz val="7"/>
        <color theme="1"/>
        <rFont val="Times New Roman"/>
        <family val="1"/>
      </rPr>
      <t xml:space="preserve"> </t>
    </r>
    <r>
      <rPr>
        <sz val="11"/>
        <color theme="1"/>
        <rFont val="Calibri"/>
        <family val="2"/>
        <scheme val="minor"/>
      </rPr>
      <t>Participation in sports and leisure activity</t>
    </r>
  </si>
  <si>
    <t>Decrease in net carbon emissions</t>
  </si>
  <si>
    <t>Increase in canopy cover</t>
  </si>
  <si>
    <t>Extent of water capture and reuse</t>
  </si>
  <si>
    <t>Waste diverted from landfill</t>
  </si>
  <si>
    <t>Community environmental engagement</t>
  </si>
  <si>
    <t>Climate adaptations made to the built environment</t>
  </si>
  <si>
    <t>Promotion and protection of culturally significant areas for Wurundjeri people.</t>
  </si>
  <si>
    <t>Protection and celebration of areas with Heritage significance and neighbourhood identity</t>
  </si>
  <si>
    <t xml:space="preserve">Implementation of design standards </t>
  </si>
  <si>
    <t>Diversity of public spaces and their usage</t>
  </si>
  <si>
    <t xml:space="preserve">Connectivity and usage of open spaces </t>
  </si>
  <si>
    <t xml:space="preserve">Population health </t>
  </si>
  <si>
    <r>
      <t>Safety of</t>
    </r>
    <r>
      <rPr>
        <sz val="11"/>
        <color rgb="FF000000"/>
        <rFont val="Calibri"/>
        <family val="2"/>
        <scheme val="minor"/>
      </rPr>
      <t xml:space="preserve"> pedestrians and cyclists</t>
    </r>
  </si>
  <si>
    <r>
      <t xml:space="preserve">% of suburbs by % Mesh Block / Actual parkland </t>
    </r>
    <r>
      <rPr>
        <sz val="8"/>
        <color theme="1"/>
        <rFont val="Calibri"/>
        <family val="2"/>
        <scheme val="minor"/>
      </rPr>
      <t> </t>
    </r>
  </si>
  <si>
    <r>
      <t> </t>
    </r>
    <r>
      <rPr>
        <sz val="10"/>
        <color theme="1"/>
        <rFont val="Calibri"/>
        <family val="2"/>
        <scheme val="minor"/>
      </rPr>
      <t xml:space="preserve"> The definition of this would be defined in the updated Open Space Strategy (or whatever it will be called)</t>
    </r>
  </si>
  <si>
    <t>2015/16</t>
  </si>
  <si>
    <t>Definition</t>
  </si>
  <si>
    <t>NO</t>
  </si>
  <si>
    <t>The number of residents who identify as either Aboriginal or Torres Strait Islander</t>
  </si>
  <si>
    <t>Participation in Reconciliation Program events run by Council</t>
  </si>
  <si>
    <t>2017-18</t>
  </si>
  <si>
    <t>Number of visits to aquatic facilities per head of municipal population</t>
  </si>
  <si>
    <t>Proportion of adults who report high or very high psychological distress</t>
  </si>
  <si>
    <t>The percentage of residents who either select 'safe' or 'very safe'</t>
  </si>
  <si>
    <t>Crimes against the person</t>
  </si>
  <si>
    <t>Criminal incident rate per 100,000 population for the offence division 'Crimes against the person'. Year ending June.</t>
  </si>
  <si>
    <t>The proportion of adults who meet the physical activity guidelines</t>
  </si>
  <si>
    <t>Proportion of adults who consume alcohol at lifetime risk of harm</t>
  </si>
  <si>
    <t>Proportion of adults with a body mass index score of 30 or greater.</t>
  </si>
  <si>
    <t>The percentage of respondents who answered 'Yes' to the question</t>
  </si>
  <si>
    <t>The proportion of dwellings that are not in the 'separate house' category</t>
  </si>
  <si>
    <t>ABS (Census of Population and Housing: Estimating homelessness, 2016)</t>
  </si>
  <si>
    <t>The estimate of homeless people in the municipality</t>
  </si>
  <si>
    <t>Proportion of occupied households for which rent payments make up 30 per cent or more of household income</t>
  </si>
  <si>
    <t>The percentage who did voluntary work through and organisation or group (in the last 12 months)</t>
  </si>
  <si>
    <t>Percentage of the municipal population that are members of the library and have borrowed a library collection item</t>
  </si>
  <si>
    <t>Number of library collection item loans per library collection item</t>
  </si>
  <si>
    <t>Smoothed unemployment rate (%) - June quarter</t>
  </si>
  <si>
    <t>Proportion of the population (aged 15 years and over) in the labour force (in work or looking for work)</t>
  </si>
  <si>
    <t>Proportion of employed residents, working in these ANZSIC divisions (1-Professional, scientific and technical services 2-information, media and telecommunications 3-financial and insurance services)</t>
  </si>
  <si>
    <t>How is it currently collected? We could add a question to the CS if needed</t>
  </si>
  <si>
    <t>The proportion who used either 'train', 'bus', or 'tram or ferry' to travel to work</t>
  </si>
  <si>
    <t>Proportion of dwellings within 400 metres of a frequently serviced public transport stop (one with a scheduled service every 30 minutes from 7am to 7pm on a normal weekday)</t>
  </si>
  <si>
    <t>Respondents who answer that they can 'easily get to places when needed'</t>
  </si>
  <si>
    <t>The proportion who select either 'walk', 'cycle' or take the train, bus or tram for journeys under 5km.</t>
  </si>
  <si>
    <t>The proportion who select 'cycle'  for journeys under 5km.</t>
  </si>
  <si>
    <t>Emissions from Council fleet</t>
  </si>
  <si>
    <t>Indoor potable water use in megalitres</t>
  </si>
  <si>
    <t>Percentage of the municipality covered by tree canopy</t>
  </si>
  <si>
    <t>Percentage of garbage, recyclables and green organics collected from kerbside bins that is diverted from landfill</t>
  </si>
  <si>
    <t>The proportion of the total area defined as green space</t>
  </si>
  <si>
    <t>Share of dwellings within 400m of green space (as defined in the Open Space Strategy) using network distance</t>
  </si>
  <si>
    <t>VicHealth Indicators Survey</t>
  </si>
  <si>
    <t>Proportion of adults who attended a local community event</t>
  </si>
  <si>
    <t>Council Plan / New Local Govt Act 2019</t>
  </si>
  <si>
    <t>Website analytics - Valley view data</t>
  </si>
  <si>
    <t xml:space="preserve">Number of participants engaging in  Your Say. </t>
  </si>
  <si>
    <t>Website analytics - Your say data</t>
  </si>
  <si>
    <t xml:space="preserve">Number of visits to website </t>
  </si>
  <si>
    <t>Website analytics - Council website</t>
  </si>
  <si>
    <t>Proportion of the population with a Bachelor degree or higher - based on the Highest Level of Educational Attainment (HEAP) variable.</t>
  </si>
  <si>
    <t>Measure</t>
  </si>
  <si>
    <t>Level</t>
  </si>
  <si>
    <t>Primary</t>
  </si>
  <si>
    <t>Secondary</t>
  </si>
  <si>
    <t>Community Survey</t>
  </si>
  <si>
    <t>Baseline data</t>
  </si>
  <si>
    <t>No</t>
  </si>
  <si>
    <t>The average rating for satisfaction with life as a whole (score out of 10)</t>
  </si>
  <si>
    <t>Gross Regional Product (in $Billions)</t>
  </si>
  <si>
    <t>Visitors to the Incinerator Gallery</t>
  </si>
  <si>
    <t>Count of visitors to the Incinerator Gallery</t>
  </si>
  <si>
    <t>Upgraded parks a a proportion of all parks</t>
  </si>
  <si>
    <t>KWh used sourced from renewable energy sources as a proportion of total KWh of energy used</t>
  </si>
  <si>
    <t>per capita emissions of GHG emissions (tCO2-e)</t>
  </si>
  <si>
    <t>Count of number of street trees</t>
  </si>
  <si>
    <t>Outdoor potable water use</t>
  </si>
  <si>
    <t>Kilograms of nitrogen discharged in to local waterways</t>
  </si>
  <si>
    <t>Area of land run-off treated prior to discharge to waterways in square metres</t>
  </si>
  <si>
    <t>Indoor potable water use</t>
  </si>
  <si>
    <t>The amount of open space (as defined in the Open Space Strategy ) divided the population (ABS, Estimated Resident Population) multiplied by 1000. Figure in hectares</t>
  </si>
  <si>
    <t xml:space="preserve">Further Year </t>
  </si>
  <si>
    <t>baseline available</t>
  </si>
  <si>
    <t>readily available</t>
  </si>
  <si>
    <t>reliable</t>
  </si>
  <si>
    <t>evidence to inform 2040 target</t>
  </si>
  <si>
    <t>line of sight</t>
  </si>
  <si>
    <t>confirmed by pen holders</t>
  </si>
  <si>
    <t>Centre of Urban Research Liveability Indicators</t>
  </si>
  <si>
    <t>Access to off-licence alcohol outlets</t>
  </si>
  <si>
    <t>Access to supermarkets</t>
  </si>
  <si>
    <t>Percentage of residences within 1 km of a supermarket calculated using network distance</t>
  </si>
  <si>
    <t>Percentage of residences without access to an off-licence alcohol outlet within 800m calculated using network distance</t>
  </si>
  <si>
    <t>SD#</t>
  </si>
  <si>
    <t>95 per cent coverage of school entry immunisation</t>
  </si>
  <si>
    <t>Target source</t>
  </si>
  <si>
    <t>Victorian Public Health and Wellbeing Outcomes Framework</t>
  </si>
  <si>
    <t>The percentage who did either 'formal' or 'informal' volunteering in the last 12 months (not a sum of these, but the percentage that did either one, i.e. not those who have 'not volunteered')</t>
  </si>
  <si>
    <t>yes</t>
  </si>
  <si>
    <t>Calculated</t>
  </si>
  <si>
    <t>Council Parks, Waste and Sustainability data</t>
  </si>
  <si>
    <t>Number of residents engaged through Council’s environment and sustainability engagement activities</t>
  </si>
  <si>
    <t>Social Health Atlas of Australia, ABS, PHIDU</t>
  </si>
  <si>
    <t>Ratio of the top 20 per cent to the bottom 20 per cent of household income (P80/P20)</t>
  </si>
  <si>
    <t>The number of attendees in events run in the calendar year</t>
  </si>
  <si>
    <t>Community satisfaction with the performance of Council in maintaining local infrastructure</t>
  </si>
  <si>
    <t>Community satisfaction with consultation and engagement</t>
  </si>
  <si>
    <t>Ratio of the median dwelling price to median household income</t>
  </si>
  <si>
    <t>Diversity of housing stock</t>
  </si>
  <si>
    <t>Occuapancy rate of retail premises in Moonee Valley's six largest business precincts</t>
  </si>
  <si>
    <t>Gross Regional Product</t>
  </si>
  <si>
    <t>Share of households with an active broadband connection, defined as access speed of 256 kilobits per second or faster (broadband for VP target)</t>
  </si>
  <si>
    <t>Linear kilometres of walking/cycling infrastructure</t>
  </si>
  <si>
    <t>Percentage of streetscapes and parks upgraded that include water sensitive design and urban cooling elements</t>
  </si>
  <si>
    <t>Estimated per-capita amount of greenhouse gases emitted in a year</t>
  </si>
  <si>
    <t>Number of street trees planted</t>
  </si>
  <si>
    <t>People in households collecting waste water expressed as a percentage of the adult population (collecting water from washing machines, shower or sinks)</t>
  </si>
  <si>
    <t>Community satisfaction with the performance of Council in delivering attractive parks, gardens, open space and streetscapes</t>
  </si>
  <si>
    <t>Community satisfaction with the appearance of public areas</t>
  </si>
  <si>
    <t>Percentage of studies completed from Council's 10-year Heritage Gap Study work program to identify and protect local heritage</t>
  </si>
  <si>
    <t>investment by council could change this</t>
  </si>
  <si>
    <t>no</t>
  </si>
  <si>
    <t>Annual average age standardised rate per 100,000 population</t>
  </si>
  <si>
    <t>New business applications</t>
  </si>
  <si>
    <t>Social housing units</t>
  </si>
  <si>
    <t>Sum of the count of public housing and community housing units</t>
  </si>
  <si>
    <t xml:space="preserve">Number of subscribers to Valley View. </t>
  </si>
  <si>
    <t>Opportunities for work placements in Council by local residents</t>
  </si>
  <si>
    <t>Total FTE days of work placement undertaken by local residents</t>
  </si>
  <si>
    <t>Vaccination of secondary school children</t>
  </si>
  <si>
    <t xml:space="preserve">Immunisation system (e.g. IMPS) </t>
  </si>
  <si>
    <t xml:space="preserve">Defined as the percentage of businesses with an ABN in the municipality that participate in at least one Council business development activity </t>
  </si>
  <si>
    <t>Good resilience is defined as having a score of at least six out of eight on the CD-RISC2 scale.</t>
  </si>
  <si>
    <t>The proportion of children who are fully vaccinated by council</t>
  </si>
  <si>
    <t xml:space="preserve">The proportion of secondary school children who are fully vaccinated </t>
  </si>
  <si>
    <t xml:space="preserve">Australian Childhood Immunisation Register – NIC5B Report </t>
  </si>
  <si>
    <t>SEIFA IRSD Decile (or score or percentile) within Victoria</t>
  </si>
  <si>
    <t>Relative Socio-Economic Disadvantage</t>
  </si>
  <si>
    <t>Utilisation of aquatic facilities</t>
  </si>
  <si>
    <t>Ease of access to urban (community) services (walkability index)</t>
  </si>
  <si>
    <t>Suicide rate</t>
  </si>
  <si>
    <t>Participation in MCH service</t>
  </si>
  <si>
    <t>General Wellbeing</t>
  </si>
  <si>
    <t>Percentage of goods and services Council purchases locally</t>
  </si>
  <si>
    <t>Diversity in industry</t>
  </si>
  <si>
    <t>Participation in Business Development activities</t>
  </si>
  <si>
    <t>Level of satisfaction with aquatic facilities</t>
  </si>
  <si>
    <t>Km of separated cycling lanes, and cycling paths</t>
  </si>
  <si>
    <t>Residents who feel safe or very safe at public transport stops and stations</t>
  </si>
  <si>
    <t>Residents that feel there is someone outside their household who could be asked for support in a time of crisis</t>
  </si>
  <si>
    <t>Year 12 completion</t>
  </si>
  <si>
    <t>Residents with a bachelor degree or higher</t>
  </si>
  <si>
    <t>Jobs that can be reached by car(?) in a commute of 30 minutes or less</t>
  </si>
  <si>
    <t>Residents who shopping in Moonee Valley in the last seven days</t>
  </si>
  <si>
    <t>Residents who usually participate in walking, running, sport or physical recreation</t>
  </si>
  <si>
    <t>Residents who usually use public or active transport for journeys under 5km</t>
  </si>
  <si>
    <t>Creating Liveable Cities in Australia</t>
  </si>
  <si>
    <t>Proportion of properties that are moderate-high (needs to be defined) in accessibility based on combined accessibility (Accessibility within a 20-minute walk to public
transport, open space, community facilities, schools, and convenience centres. Greater consideration was given to public transport followed by convenience centres and open space. Less consideration was given to community facilities, and schools). Calculated as the number of households  who are within a 20 minute walk of a library, (add other facilities) based on network distance.</t>
  </si>
  <si>
    <t>Medium</t>
  </si>
  <si>
    <t>Active library members</t>
  </si>
  <si>
    <t>High</t>
  </si>
  <si>
    <t>low</t>
  </si>
  <si>
    <t>Family incident rate per 100,000 population (Year ending June)</t>
  </si>
  <si>
    <t>Low</t>
  </si>
  <si>
    <t>medium</t>
  </si>
  <si>
    <t>high</t>
  </si>
  <si>
    <t>Diverse and inclusive</t>
  </si>
  <si>
    <t>Active and experiencing culture</t>
  </si>
  <si>
    <t>Sustainable and active transport</t>
  </si>
  <si>
    <t>Opportunities for children to influence decisions about their city and participate in social life</t>
  </si>
  <si>
    <t>Family violence</t>
  </si>
  <si>
    <t>Putting off going to the doctor due to cost</t>
  </si>
  <si>
    <t>Obesity</t>
  </si>
  <si>
    <t>Alcohol consumption</t>
  </si>
  <si>
    <t>Feeling safe during the day</t>
  </si>
  <si>
    <t>Psychological distress</t>
  </si>
  <si>
    <t>The percentage of respondents who either select 'very good' or 'excellent' to when asked about their health status</t>
  </si>
  <si>
    <t>Physical activity</t>
  </si>
  <si>
    <t>Support in a time of crisis</t>
  </si>
  <si>
    <t>Resilience</t>
  </si>
  <si>
    <t>Feeling part of the community</t>
  </si>
  <si>
    <t>The percentage of residents who either select 'safe' or 'very safe' when walking alone in their local area during the night.</t>
  </si>
  <si>
    <t>Number of families identified as vulnerable engaged in Council services ????</t>
  </si>
  <si>
    <t>Vulnerable families engaged in Council services</t>
  </si>
  <si>
    <t>The percentage of respondents who either 'agree' or 'strongly agree' with the statement "Do you feel there are opportunities to have a real say on issues that are important to you?*</t>
  </si>
  <si>
    <t>Having a real say</t>
  </si>
  <si>
    <t>Housing stress</t>
  </si>
  <si>
    <t>Homelessness</t>
  </si>
  <si>
    <t>Rental stress</t>
  </si>
  <si>
    <t>Labour force participation</t>
  </si>
  <si>
    <t>Unemployment</t>
  </si>
  <si>
    <t>Volunteering</t>
  </si>
  <si>
    <t>Kindergarten enrolment</t>
  </si>
  <si>
    <t xml:space="preserve">New business entrants and exits </t>
  </si>
  <si>
    <t>Active trade on the business register over the past year</t>
  </si>
  <si>
    <t>Council purchasing goods locally</t>
  </si>
  <si>
    <t>Share of employed persons that work in the top three knowledge-intensive services industries</t>
  </si>
  <si>
    <t>Local shopping</t>
  </si>
  <si>
    <t>Occupancy rates in business precincts</t>
  </si>
  <si>
    <t>Percentage who answered 'satisfied' or 'very satisfied' to 'Council services meet their needs'</t>
  </si>
  <si>
    <t>Council services meet residents needs</t>
  </si>
  <si>
    <t>Residents can easily get to places when needed</t>
  </si>
  <si>
    <t>Residents cycle for journeys under 5km</t>
  </si>
  <si>
    <t>Separated cycling lanes, and cycling paths</t>
  </si>
  <si>
    <t>Nitrogen discharged to waterways</t>
  </si>
  <si>
    <t>Street trees planted</t>
  </si>
  <si>
    <t>Open space</t>
  </si>
  <si>
    <t>Index score - satisfaction with Council's performance in maintaining local infrastructure</t>
  </si>
  <si>
    <t>Index score - Satisfaction with consultation and engagement</t>
  </si>
  <si>
    <t>Index score - Council decision making</t>
  </si>
  <si>
    <t>Index score - satisfaction with libraries</t>
  </si>
  <si>
    <t>Index score - satisfaction with the performance of Council in delivering attractive parks, gardens, open space and streetscapes</t>
  </si>
  <si>
    <t>Index score - satisfaction with the appearance of public areas</t>
  </si>
  <si>
    <t>20-minute neighbourhood access to jobs, services, schools etc.</t>
  </si>
  <si>
    <t>Walkability</t>
  </si>
  <si>
    <t>Income inequality</t>
  </si>
  <si>
    <t>Aboriginal and Torres Strait Islander population</t>
  </si>
  <si>
    <t>Attendance at a local community events</t>
  </si>
  <si>
    <t>Council Valley View engagement</t>
  </si>
  <si>
    <t>Council Your Say engagement</t>
  </si>
  <si>
    <t xml:space="preserve">Council website engagement </t>
  </si>
  <si>
    <t>Community satisfaction with libraries</t>
  </si>
  <si>
    <t>Number of fatalities on roads within Moonee Valley</t>
  </si>
  <si>
    <t>Number of serious injuries on roads within Moonee Valley</t>
  </si>
  <si>
    <t>Walking and cycling infrastructure</t>
  </si>
  <si>
    <t>Council's operations powered by renewable electricity</t>
  </si>
  <si>
    <t>Council buildings designed and reviewed for ESD and adhering to Council's Sustainable Buildings guidelines</t>
  </si>
  <si>
    <t>Street trees</t>
  </si>
  <si>
    <t>Land run-off treated prior to discharge to waterways</t>
  </si>
  <si>
    <t>Tree canopy cover</t>
  </si>
  <si>
    <t xml:space="preserve">Kerbside waste collected and diverted from landfill
</t>
  </si>
  <si>
    <t>Council’s environment and sustainability engagement activities</t>
  </si>
  <si>
    <t>Green space</t>
  </si>
  <si>
    <t>Protecting local heritage</t>
  </si>
  <si>
    <t>Self-reported health</t>
  </si>
  <si>
    <t>VicRoads CrashStats</t>
  </si>
  <si>
    <t>Urban Forest</t>
  </si>
  <si>
    <t>Proportion who travel to work by walking, cycling or by public transport</t>
  </si>
  <si>
    <t>Accessible community facilities</t>
  </si>
  <si>
    <t>Learn and work</t>
  </si>
  <si>
    <t>Thriving economy</t>
  </si>
  <si>
    <t>Technology ready</t>
  </si>
  <si>
    <t>Low carbon</t>
  </si>
  <si>
    <t>Climate adapted</t>
  </si>
  <si>
    <t>Local identity</t>
  </si>
  <si>
    <t>Quality design</t>
  </si>
  <si>
    <r>
      <t xml:space="preserve">We achieve design excellence in all Council-owned buildings and facilities, and ensure their accessibility for all in our community </t>
    </r>
    <r>
      <rPr>
        <sz val="11"/>
        <color rgb="FFFF0000"/>
        <rFont val="Calibri"/>
        <family val="2"/>
        <scheme val="minor"/>
      </rPr>
      <t>(relates to buildings - is there another target for open space?)</t>
    </r>
  </si>
  <si>
    <r>
      <t>Council data/</t>
    </r>
    <r>
      <rPr>
        <sz val="11"/>
        <color rgb="FFFF0000"/>
        <rFont val="Calibri"/>
        <family val="2"/>
        <scheme val="minor"/>
      </rPr>
      <t>CAPX program would highlight location of upgrades, creation of diversity</t>
    </r>
  </si>
  <si>
    <t>Engaged</t>
  </si>
  <si>
    <t>secondary</t>
  </si>
  <si>
    <t>Visits to green space</t>
  </si>
  <si>
    <t>The percentage of people who have visited local green space weekly or more often (‘1–3 times a week’,’4–6 times a week’, ‘daily’)</t>
  </si>
  <si>
    <t>Community Survey (previous - VicHealth Indicators Survey 2011)</t>
  </si>
  <si>
    <t>Number of first year children enrolled in kindergarten divided by the number of 3 year old children(70%) and 4 year old children (30%) based on the previous year's estimated resident population</t>
  </si>
  <si>
    <t>Upgraded open space</t>
  </si>
  <si>
    <t xml:space="preserve">Open space acquired by Council (in sqm) </t>
  </si>
  <si>
    <t>Open space provision</t>
  </si>
  <si>
    <t>Open space acquired</t>
  </si>
  <si>
    <t xml:space="preserve">Number of trees planted in open space upgrades </t>
  </si>
  <si>
    <t>Trees planted in open space upgrades</t>
  </si>
  <si>
    <t>19 – A city with vibrant and safe public spaces</t>
  </si>
  <si>
    <t>Our city is regarded a beautiful place with a diversity of spaces</t>
  </si>
  <si>
    <t xml:space="preserve">Council data, Annual Report, Smarty Grants  </t>
  </si>
  <si>
    <t>Total number of community-run projects and events supported through community funding program per financial year per 100,000 population</t>
  </si>
  <si>
    <t>From Council aim of progress towards zero trauma vision and in line with Victorian Public Health Framework</t>
  </si>
  <si>
    <t>Increase</t>
  </si>
  <si>
    <t>Proportion of Council facilities that are disability accessible</t>
  </si>
  <si>
    <t>Goal (Target)</t>
  </si>
  <si>
    <t>Increase (5% from baseline to 2040)</t>
  </si>
  <si>
    <t>Decrease (5% from baseline to 2040)</t>
  </si>
  <si>
    <t>MV2040 target</t>
  </si>
  <si>
    <t>Desire for all buildings to be disability accessible under the Disability Discrimination Act</t>
  </si>
  <si>
    <t>2018-19</t>
  </si>
  <si>
    <t>2014-15</t>
  </si>
  <si>
    <t>2040 Vision - A water sensitive city</t>
  </si>
  <si>
    <t>Increase (10% from baseline to 2040)</t>
  </si>
  <si>
    <t>The proportion of local roads with a speed limit of 40km/h</t>
  </si>
  <si>
    <t>Proportion of parking spots in activity centres with smart parking sensors installed</t>
  </si>
  <si>
    <t>Gross pollutants treated prior to entering waterways</t>
  </si>
  <si>
    <t>Tonnes of gross pollutants treated prior to entering local waterways</t>
  </si>
  <si>
    <t>Developments that comply with the WSUD local policy in the Moonee Valley Planning Scheme</t>
  </si>
  <si>
    <t>Proportion of developments that comply with the Water Sensitive Urban Design (WSUD) local policy in the Moonee Valley Planning Scheme</t>
  </si>
  <si>
    <t>Net carbon emissions from Council’s operations (tonnes)</t>
  </si>
  <si>
    <t>Total carbon emissions from the community (tonnes)</t>
  </si>
  <si>
    <t>Journeys to work that are taken by public transport (for jobs in MV)</t>
  </si>
  <si>
    <t>Survey by Transport team</t>
  </si>
  <si>
    <t>Percentage of locals walking and cycling to activity centres and local public transport interchanges</t>
  </si>
  <si>
    <t>Sustainable transport use to travel to activity centres and public transport interchanges</t>
  </si>
  <si>
    <t>Connected Action Plan</t>
  </si>
  <si>
    <t>VCAMS (31.1a Kindergarten participation rate)</t>
  </si>
  <si>
    <t>Calculated from Aerial photographs (NIR) and Elevation (LiDAR) data</t>
  </si>
  <si>
    <t>Aspiration</t>
  </si>
  <si>
    <t>Increase of 5% on the estimate for metropolitan councils in 2019</t>
  </si>
  <si>
    <t>Department of Employment, Skills, Small and Family Business - SALM data</t>
  </si>
  <si>
    <t>Lowest metropolitan result in June 2018 SALM (Nillumbik)</t>
  </si>
  <si>
    <t>Highest metropolitan result in 2016 Census (Boroondara)</t>
  </si>
  <si>
    <t>Employment self-sufficiency</t>
  </si>
  <si>
    <t>The proportion of jobs in Moonee Valley filled by residents of Moonee Valley</t>
  </si>
  <si>
    <t>The lowest non-interface, metropolitan council figure from 2015/16 (Greater Dandenong)</t>
  </si>
  <si>
    <t>Highest non-interface metropolitan result in 2016 Census (Frankston)</t>
  </si>
  <si>
    <t>Aspiration (TBC)</t>
  </si>
  <si>
    <t>The proportion of residents who rate their household's ability to cope with climate related impacts as either 'well' or 'very well'.</t>
  </si>
  <si>
    <t>How Well are we Adapting (Western Alliance on Greenhouse Action)</t>
  </si>
  <si>
    <t>The proportion of households that have made changes either to their homes or lifestyles to become more resilient to climate impacts.</t>
  </si>
  <si>
    <t>Proportion of open spaces upgraded since 2018.</t>
  </si>
  <si>
    <t>Lowest metropolitan result in the 2018 AEDC (Bayside)</t>
  </si>
  <si>
    <t>All open spaces to be upgraded by 2040</t>
  </si>
  <si>
    <t>Lowest metropolitan result in the 2017 VPHS (Boroondara)</t>
  </si>
  <si>
    <t>Households with housing costs that represent 30 per cent or more of household gross income</t>
  </si>
  <si>
    <t>Index score - satisfaction with recreation facilities</t>
  </si>
  <si>
    <t>Proportion of those who work in Moonee Valley who travel to work by public or active transport (MTW06P)</t>
  </si>
  <si>
    <t>Proportion of new Council buildings design and reviewed for ESD and adhering to Council's Sustainable Buildings guidelines</t>
  </si>
  <si>
    <t>Outdoor potable water use in mega litres</t>
  </si>
  <si>
    <t>Proportion of the population who have completed Year 12  - based on the Highest Year of School Completed (HSCP) variable</t>
  </si>
  <si>
    <t>Desired direction</t>
  </si>
  <si>
    <t>Decrease</t>
  </si>
  <si>
    <t>Proportion of activity centres with public Wi-Fi</t>
  </si>
  <si>
    <t>HE- Number of properties added to the heritage register / with permanent heritage controls</t>
  </si>
  <si>
    <t>2025 Target</t>
  </si>
  <si>
    <t>2029 Target</t>
  </si>
  <si>
    <t>2033 Target</t>
  </si>
  <si>
    <t>2037 Target</t>
  </si>
  <si>
    <t xml:space="preserve">The proportion of children who are NOT developmentally vulnerable on one or more domain with their social, emotional, physical and communication development </t>
  </si>
  <si>
    <t>Value multiculturalism</t>
  </si>
  <si>
    <t>Walkable access to facilities</t>
  </si>
  <si>
    <t>Safe walking at night</t>
  </si>
  <si>
    <t>Children on-track</t>
  </si>
  <si>
    <t>Council decision-making</t>
  </si>
  <si>
    <t>Grant funded community-led events</t>
  </si>
  <si>
    <t>Recreation facilities</t>
  </si>
  <si>
    <t>Public Wi-Fi</t>
  </si>
  <si>
    <t>Proximity to frequent public transport</t>
  </si>
  <si>
    <t>Sustainable transport to work</t>
  </si>
  <si>
    <t>Safe road speeds</t>
  </si>
  <si>
    <t xml:space="preserve">Parking technology </t>
  </si>
  <si>
    <t>Council carbon emissions</t>
  </si>
  <si>
    <t>Community carbon emissions</t>
  </si>
  <si>
    <t>Stormwater into local waterways</t>
  </si>
  <si>
    <t>Extreme weather event preparedness</t>
  </si>
  <si>
    <t xml:space="preserve">Sustainable behaviour </t>
  </si>
  <si>
    <t xml:space="preserve">Disability accessible facilities </t>
  </si>
  <si>
    <t>Proximity to green space</t>
  </si>
  <si>
    <t>Not directly comparable, but the highest figure from the VPHS 2017 was Port Philip with 56.1%. In comparison, ours is 47.5%. We tend to have higher figures in the CS than the VPHS.</t>
  </si>
  <si>
    <t>Highest metropolitan result in 2017 survey (Port Philip)</t>
  </si>
  <si>
    <t>Lowest metropolitan result in the 2017 VPHS (Brimbank)</t>
  </si>
  <si>
    <t>Lowest metropolitan result in the 2017 VPHS (Melbourne)</t>
  </si>
  <si>
    <t>Victorian Population Health Survey (inequalities in social determinants)</t>
  </si>
  <si>
    <t>Zero trauma vision</t>
  </si>
  <si>
    <t>Calculated from spatial data</t>
  </si>
  <si>
    <t>MV2040</t>
  </si>
  <si>
    <t>ABS (6524.0.55.002 - Estimates of Personal Income for Small Areas)</t>
  </si>
  <si>
    <t>ABS (Census of Population and Housing)</t>
  </si>
  <si>
    <t>Victorian Child and Adolescent Monitoring System (VCAMS)</t>
  </si>
  <si>
    <t>Across Moonee Valley there is increased participation and value placed in the arts, sport, culture and community-run events</t>
  </si>
  <si>
    <t>Calculated from Public Transport Victoria (PTV) General Transit Feed Specification (GTFS) data</t>
  </si>
  <si>
    <t>ID</t>
  </si>
  <si>
    <t>F011</t>
  </si>
  <si>
    <t>F013</t>
  </si>
  <si>
    <t>F012</t>
  </si>
  <si>
    <t>F021</t>
  </si>
  <si>
    <t>F031</t>
  </si>
  <si>
    <t>F032</t>
  </si>
  <si>
    <t>F041</t>
  </si>
  <si>
    <t>F051</t>
  </si>
  <si>
    <t>F033</t>
  </si>
  <si>
    <t>T061</t>
  </si>
  <si>
    <t>T062</t>
  </si>
  <si>
    <t>T063</t>
  </si>
  <si>
    <t>T064</t>
  </si>
  <si>
    <t>T071</t>
  </si>
  <si>
    <t>T081</t>
  </si>
  <si>
    <t>T082</t>
  </si>
  <si>
    <t>T091</t>
  </si>
  <si>
    <t>C101</t>
  </si>
  <si>
    <t>C102</t>
  </si>
  <si>
    <t>C103</t>
  </si>
  <si>
    <t>C111</t>
  </si>
  <si>
    <t>C112</t>
  </si>
  <si>
    <t>C121</t>
  </si>
  <si>
    <t>G131</t>
  </si>
  <si>
    <t>G141</t>
  </si>
  <si>
    <t>G151</t>
  </si>
  <si>
    <t>G161</t>
  </si>
  <si>
    <t>B181</t>
  </si>
  <si>
    <t>B191</t>
  </si>
  <si>
    <t>B202</t>
  </si>
  <si>
    <t>G132</t>
  </si>
  <si>
    <t>G142</t>
  </si>
  <si>
    <t>G143</t>
  </si>
  <si>
    <t>G144</t>
  </si>
  <si>
    <t>G145</t>
  </si>
  <si>
    <t>G162</t>
  </si>
  <si>
    <t>B201</t>
  </si>
  <si>
    <t>B203</t>
  </si>
  <si>
    <t>year</t>
  </si>
  <si>
    <t>id</t>
  </si>
  <si>
    <t>value</t>
  </si>
  <si>
    <t>value_format</t>
  </si>
  <si>
    <t>decimal</t>
  </si>
  <si>
    <t>integer</t>
  </si>
  <si>
    <t>percentage</t>
  </si>
  <si>
    <t>type</t>
  </si>
  <si>
    <t>baseline</t>
  </si>
  <si>
    <t>progress</t>
  </si>
  <si>
    <t>target</t>
  </si>
  <si>
    <t>F034</t>
  </si>
  <si>
    <t>F035</t>
  </si>
  <si>
    <t>Sustainable travel to jobs in Moonee Valley</t>
  </si>
  <si>
    <t>value_unit</t>
  </si>
  <si>
    <t>lower</t>
  </si>
  <si>
    <t>upper</t>
  </si>
  <si>
    <t>Total volume of stormwater discharged in to local water ways (megalitres)</t>
  </si>
  <si>
    <t>The percentage of respondents who agree (six or higher out of ten)</t>
  </si>
  <si>
    <t>The percentage of respondents who agree (six or higher out of ten) with the statement "I value living in Moonee Valley because of its multiculturalism"</t>
  </si>
  <si>
    <t>theme</t>
  </si>
  <si>
    <t>sd#</t>
  </si>
  <si>
    <t>Ratio</t>
  </si>
  <si>
    <t>Percentage</t>
  </si>
  <si>
    <t>Index score</t>
  </si>
  <si>
    <t>Deaths</t>
  </si>
  <si>
    <t>Tonnes</t>
  </si>
  <si>
    <t>Trees</t>
  </si>
  <si>
    <t>Megalitres</t>
  </si>
  <si>
    <t>ABS (6524.0.55.002)</t>
  </si>
  <si>
    <t>Calculated from Council data</t>
  </si>
  <si>
    <t>Calculated from Council and ABS data</t>
  </si>
  <si>
    <t>THIS IS THE MOST RECENT DATA!!!!</t>
  </si>
  <si>
    <t>The GREEN sheets are for use with the database</t>
  </si>
  <si>
    <t>The data in the red sheets are probably not the most recent</t>
  </si>
  <si>
    <t>Commentary</t>
  </si>
  <si>
    <t>Data to be added</t>
  </si>
  <si>
    <t>Kerbside waste collected and diverted from landfill</t>
  </si>
  <si>
    <t>Why is this important? Add some information here.</t>
  </si>
  <si>
    <t>The percentage of people who have visited local green space weekly or more often</t>
  </si>
  <si>
    <t xml:space="preserve">Add commentary about what the the results mean. </t>
  </si>
  <si>
    <t>prior</t>
  </si>
  <si>
    <t>Department of Employment, Skills, Small and Family Business – Small Area Labour Market (SALM) data</t>
  </si>
  <si>
    <t>Calculated from aerial photographs (NIR) and Elevation (LiDAR) data</t>
  </si>
  <si>
    <t>Calculated from Public Transport Victoria (PTV) GTFS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</si>
</sst>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4"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70C0"/>
      <name val="Calibri"/>
      <family val="2"/>
      <scheme val="minor"/>
    </font>
    <font>
      <sz val="11"/>
      <color rgb="FF7030A0"/>
      <name val="Calibri"/>
      <family val="2"/>
      <scheme val="minor"/>
    </font>
    <font>
      <sz val="11"/>
      <color theme="5" tint="-0.249977111117893"/>
      <name val="Calibri"/>
      <family val="2"/>
      <scheme val="minor"/>
    </font>
    <font>
      <sz val="11"/>
      <color theme="9" tint="-0.249977111117893"/>
      <name val="Calibri"/>
      <family val="2"/>
      <scheme val="minor"/>
    </font>
    <font>
      <sz val="11"/>
      <color rgb="FFC00000"/>
      <name val="Calibri"/>
      <family val="2"/>
      <scheme val="minor"/>
    </font>
    <font>
      <u/>
      <sz val="11"/>
      <color theme="1"/>
      <name val="Calibri"/>
      <family val="2"/>
      <scheme val="minor"/>
    </font>
    <font>
      <sz val="11"/>
      <color rgb="FFFF0000"/>
      <name val="Calibri"/>
      <family val="2"/>
      <scheme val="minor"/>
    </font>
    <font>
      <sz val="8"/>
      <color theme="1"/>
      <name val="Calibri"/>
      <family val="2"/>
      <scheme val="minor"/>
    </font>
    <font>
      <sz val="11"/>
      <color theme="1"/>
      <name val="Calibri"/>
      <family val="2"/>
      <scheme val="minor"/>
    </font>
    <font>
      <b/>
      <sz val="11"/>
      <color rgb="FFFFFFFF"/>
      <name val="Calibri"/>
      <family val="2"/>
    </font>
    <font>
      <sz val="11"/>
      <color rgb="FF000000"/>
      <name val="Calibri"/>
      <family val="2"/>
    </font>
    <font>
      <sz val="10"/>
      <color theme="1"/>
      <name val="Calibri"/>
      <family val="2"/>
      <scheme val="minor"/>
    </font>
    <font>
      <sz val="11"/>
      <color rgb="FF000000"/>
      <name val="Calibri"/>
      <family val="2"/>
      <scheme val="minor"/>
    </font>
    <font>
      <sz val="7"/>
      <color theme="1"/>
      <name val="Times New Roman"/>
      <family val="1"/>
    </font>
    <font>
      <u/>
      <sz val="11"/>
      <color rgb="FF008080"/>
      <name val="Calibri"/>
      <family val="2"/>
      <scheme val="minor"/>
    </font>
    <font>
      <strike/>
      <sz val="11"/>
      <color rgb="FFFF0000"/>
      <name val="Calibri"/>
      <family val="2"/>
      <scheme val="minor"/>
    </font>
    <font>
      <b/>
      <sz val="11"/>
      <color rgb="FFFF0000"/>
      <name val="Calibri"/>
      <family val="2"/>
      <scheme val="minor"/>
    </font>
    <font>
      <sz val="9"/>
      <color indexed="81"/>
      <name val="Tahoma"/>
      <family val="2"/>
    </font>
    <font>
      <b/>
      <sz val="9"/>
      <color indexed="81"/>
      <name val="Tahoma"/>
      <family val="2"/>
    </font>
    <font>
      <b/>
      <sz val="11"/>
      <color theme="7"/>
      <name val="Calibri"/>
      <family val="2"/>
      <scheme val="minor"/>
    </font>
  </fonts>
  <fills count="22">
    <fill>
      <patternFill patternType="none"/>
    </fill>
    <fill>
      <patternFill patternType="gray125"/>
    </fill>
    <fill>
      <patternFill patternType="solid">
        <fgColor theme="1"/>
        <bgColor indexed="64"/>
      </patternFill>
    </fill>
    <fill>
      <patternFill patternType="solid">
        <fgColor rgb="FF0070C0"/>
        <bgColor indexed="64"/>
      </patternFill>
    </fill>
    <fill>
      <patternFill patternType="solid">
        <fgColor theme="3" tint="0.79998168889431442"/>
        <bgColor indexed="64"/>
      </patternFill>
    </fill>
    <fill>
      <patternFill patternType="solid">
        <fgColor theme="9"/>
        <bgColor indexed="64"/>
      </patternFill>
    </fill>
    <fill>
      <patternFill patternType="solid">
        <fgColor rgb="FF7030A0"/>
        <bgColor indexed="64"/>
      </patternFill>
    </fill>
    <fill>
      <patternFill patternType="solid">
        <fgColor theme="5"/>
        <bgColor indexed="64"/>
      </patternFill>
    </fill>
    <fill>
      <patternFill patternType="solid">
        <fgColor rgb="FFC00000"/>
        <bgColor indexed="64"/>
      </patternFill>
    </fill>
    <fill>
      <patternFill patternType="solid">
        <fgColor rgb="FFFFFF00"/>
        <bgColor indexed="64"/>
      </patternFill>
    </fill>
    <fill>
      <patternFill patternType="solid">
        <fgColor rgb="FF0000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0000"/>
        <bgColor indexed="64"/>
      </patternFill>
    </fill>
    <fill>
      <patternFill patternType="solid">
        <fgColor theme="8"/>
        <bgColor indexed="64"/>
      </patternFill>
    </fill>
    <fill>
      <patternFill patternType="solid">
        <fgColor theme="7"/>
        <bgColor indexed="64"/>
      </patternFill>
    </fill>
    <fill>
      <patternFill patternType="solid">
        <fgColor theme="5" tint="0.59999389629810485"/>
        <bgColor indexed="64"/>
      </patternFill>
    </fill>
    <fill>
      <patternFill patternType="solid">
        <fgColor theme="4"/>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rgb="FF00B050"/>
        <bgColor indexed="64"/>
      </patternFill>
    </fill>
  </fills>
  <borders count="1">
    <border>
      <left/>
      <right/>
      <top/>
      <bottom/>
      <diagonal/>
    </border>
  </borders>
  <cellStyleXfs count="2">
    <xf numFmtId="0" fontId="0" fillId="0" borderId="0"/>
    <xf numFmtId="9" fontId="12" fillId="0" borderId="0" applyFont="0" applyFill="0" applyBorder="0" applyAlignment="0" applyProtection="0"/>
  </cellStyleXfs>
  <cellXfs count="105">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4" fillId="0" borderId="0" xfId="0" applyFont="1" applyAlignment="1">
      <alignment vertical="center" wrapText="1"/>
    </xf>
    <xf numFmtId="0" fontId="0" fillId="0" borderId="0" xfId="0" applyFill="1" applyAlignment="1">
      <alignment vertical="center" wrapText="1"/>
    </xf>
    <xf numFmtId="0" fontId="5" fillId="0" borderId="0" xfId="0" applyFont="1" applyAlignment="1">
      <alignment vertical="center" wrapText="1"/>
    </xf>
    <xf numFmtId="0" fontId="0" fillId="2" borderId="0" xfId="0" applyFill="1" applyAlignment="1">
      <alignment wrapText="1"/>
    </xf>
    <xf numFmtId="0" fontId="0" fillId="4" borderId="0" xfId="0" applyFill="1" applyAlignment="1">
      <alignment vertical="center" wrapText="1"/>
    </xf>
    <xf numFmtId="0" fontId="0" fillId="4" borderId="0" xfId="0" applyFill="1" applyBorder="1" applyAlignment="1">
      <alignment vertical="center" wrapText="1"/>
    </xf>
    <xf numFmtId="0" fontId="0" fillId="4" borderId="0" xfId="0" applyFill="1" applyAlignment="1">
      <alignment wrapText="1"/>
    </xf>
    <xf numFmtId="0" fontId="6" fillId="0" borderId="0" xfId="0" applyFont="1" applyAlignment="1">
      <alignment vertical="center" wrapText="1"/>
    </xf>
    <xf numFmtId="0" fontId="6" fillId="4" borderId="0" xfId="0" applyFont="1" applyFill="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0" fillId="2" borderId="0" xfId="0" applyFill="1"/>
    <xf numFmtId="0" fontId="1" fillId="2" borderId="0" xfId="0" applyFont="1" applyFill="1" applyAlignment="1">
      <alignment horizontal="center"/>
    </xf>
    <xf numFmtId="0" fontId="1" fillId="2" borderId="0" xfId="0" applyFont="1" applyFill="1" applyAlignment="1">
      <alignment horizontal="center" wrapText="1"/>
    </xf>
    <xf numFmtId="0" fontId="9" fillId="4" borderId="0" xfId="0" applyFont="1" applyFill="1" applyAlignment="1">
      <alignment vertical="center" wrapText="1"/>
    </xf>
    <xf numFmtId="0" fontId="0" fillId="2" borderId="0" xfId="0" applyFill="1" applyAlignment="1">
      <alignment horizontal="center"/>
    </xf>
    <xf numFmtId="0" fontId="0" fillId="9" borderId="0" xfId="0" applyFill="1" applyAlignment="1">
      <alignment vertical="center" wrapText="1"/>
    </xf>
    <xf numFmtId="0" fontId="0" fillId="9" borderId="0" xfId="0" applyFill="1" applyAlignment="1">
      <alignment wrapText="1"/>
    </xf>
    <xf numFmtId="0" fontId="0" fillId="0" borderId="0" xfId="0" applyAlignment="1">
      <alignment horizontal="left" vertical="center" wrapText="1" indent="1"/>
    </xf>
    <xf numFmtId="0" fontId="0" fillId="9" borderId="0" xfId="0" applyFill="1" applyAlignment="1">
      <alignment vertical="center"/>
    </xf>
    <xf numFmtId="0" fontId="2" fillId="0" borderId="0" xfId="0" applyFont="1" applyAlignment="1">
      <alignment vertical="center" wrapText="1"/>
    </xf>
    <xf numFmtId="0" fontId="13" fillId="10" borderId="0" xfId="0" applyFont="1" applyFill="1" applyAlignment="1">
      <alignment horizontal="center" vertical="center" wrapText="1"/>
    </xf>
    <xf numFmtId="0" fontId="14" fillId="0" borderId="0" xfId="0" applyFont="1" applyAlignment="1">
      <alignment vertical="center" wrapText="1"/>
    </xf>
    <xf numFmtId="0" fontId="14" fillId="0" borderId="0" xfId="0" applyFont="1" applyAlignment="1">
      <alignment vertical="center"/>
    </xf>
    <xf numFmtId="9" fontId="0" fillId="0" borderId="0" xfId="0" applyNumberFormat="1" applyAlignment="1">
      <alignment vertical="center" wrapText="1"/>
    </xf>
    <xf numFmtId="10" fontId="0" fillId="0" borderId="0" xfId="0" applyNumberFormat="1" applyAlignment="1">
      <alignment vertical="center" wrapText="1"/>
    </xf>
    <xf numFmtId="0" fontId="0" fillId="0" borderId="0" xfId="0" applyNumberFormat="1" applyAlignment="1">
      <alignment vertical="center" wrapText="1"/>
    </xf>
    <xf numFmtId="3" fontId="0" fillId="0" borderId="0" xfId="0" applyNumberFormat="1" applyAlignment="1">
      <alignment vertical="center" wrapText="1"/>
    </xf>
    <xf numFmtId="9" fontId="0" fillId="0" borderId="0" xfId="0" applyNumberFormat="1" applyAlignment="1">
      <alignment vertical="center"/>
    </xf>
    <xf numFmtId="0" fontId="11" fillId="0" borderId="0" xfId="0" applyFont="1" applyAlignment="1">
      <alignment vertical="center"/>
    </xf>
    <xf numFmtId="0" fontId="16" fillId="0" borderId="0" xfId="0" applyFont="1"/>
    <xf numFmtId="0" fontId="16" fillId="0" borderId="0" xfId="0" applyFont="1" applyAlignment="1">
      <alignment vertical="center"/>
    </xf>
    <xf numFmtId="0" fontId="16" fillId="0" borderId="0" xfId="0" applyFont="1" applyAlignment="1">
      <alignment vertical="center" wrapText="1"/>
    </xf>
    <xf numFmtId="0" fontId="15" fillId="0" borderId="0" xfId="0" applyFont="1" applyAlignment="1">
      <alignment vertical="center"/>
    </xf>
    <xf numFmtId="0" fontId="12" fillId="0" borderId="0" xfId="0" applyFont="1" applyAlignment="1">
      <alignment vertical="center"/>
    </xf>
    <xf numFmtId="0" fontId="18" fillId="0" borderId="0" xfId="0" applyFont="1" applyAlignment="1">
      <alignment vertical="center"/>
    </xf>
    <xf numFmtId="0" fontId="10" fillId="9" borderId="0" xfId="0" applyFont="1" applyFill="1" applyAlignment="1">
      <alignment vertical="center" wrapText="1"/>
    </xf>
    <xf numFmtId="0" fontId="0" fillId="0" borderId="0" xfId="0" applyAlignment="1">
      <alignment horizontal="right" vertical="center" wrapText="1"/>
    </xf>
    <xf numFmtId="164" fontId="0" fillId="0" borderId="0" xfId="0" applyNumberFormat="1" applyAlignment="1">
      <alignment vertical="center" wrapText="1"/>
    </xf>
    <xf numFmtId="0" fontId="0" fillId="9" borderId="0" xfId="0" applyFill="1" applyBorder="1" applyAlignment="1">
      <alignment vertical="center" wrapText="1"/>
    </xf>
    <xf numFmtId="0" fontId="0" fillId="4" borderId="0" xfId="0" quotePrefix="1" applyFill="1" applyAlignment="1">
      <alignment vertical="center" wrapText="1"/>
    </xf>
    <xf numFmtId="164" fontId="0" fillId="0" borderId="0" xfId="0" applyNumberFormat="1" applyAlignment="1">
      <alignment vertical="center"/>
    </xf>
    <xf numFmtId="2" fontId="0" fillId="0" borderId="0" xfId="0" applyNumberFormat="1" applyAlignment="1">
      <alignment vertical="center" wrapText="1"/>
    </xf>
    <xf numFmtId="9" fontId="0" fillId="0" borderId="0" xfId="0" applyNumberFormat="1" applyAlignment="1">
      <alignment horizontal="right" vertical="center" wrapText="1"/>
    </xf>
    <xf numFmtId="0" fontId="1" fillId="2" borderId="0" xfId="0" applyFont="1" applyFill="1" applyAlignment="1">
      <alignment horizontal="left"/>
    </xf>
    <xf numFmtId="0" fontId="0" fillId="2" borderId="0" xfId="0" applyFill="1" applyAlignment="1">
      <alignment horizontal="left"/>
    </xf>
    <xf numFmtId="0" fontId="0" fillId="0" borderId="0" xfId="0" applyAlignment="1">
      <alignment horizontal="left" vertical="center"/>
    </xf>
    <xf numFmtId="0" fontId="0" fillId="0" borderId="0" xfId="0" applyFill="1" applyAlignment="1">
      <alignment wrapText="1"/>
    </xf>
    <xf numFmtId="0" fontId="1" fillId="2" borderId="0" xfId="0" applyFont="1" applyFill="1" applyAlignment="1">
      <alignment horizontal="center" vertical="top" wrapText="1"/>
    </xf>
    <xf numFmtId="0" fontId="20" fillId="11" borderId="0" xfId="0" applyFont="1" applyFill="1" applyAlignment="1">
      <alignment horizontal="center" vertical="top" wrapText="1"/>
    </xf>
    <xf numFmtId="0" fontId="23" fillId="2" borderId="0" xfId="0" applyFont="1" applyFill="1" applyAlignment="1">
      <alignment horizontal="center" vertical="top" wrapText="1"/>
    </xf>
    <xf numFmtId="0" fontId="0" fillId="12" borderId="0" xfId="0" applyFill="1" applyAlignment="1">
      <alignment vertical="center" wrapText="1"/>
    </xf>
    <xf numFmtId="0" fontId="0" fillId="11" borderId="0" xfId="0" applyFill="1" applyAlignment="1">
      <alignment vertical="center" wrapText="1"/>
    </xf>
    <xf numFmtId="0" fontId="0" fillId="13" borderId="0" xfId="0" applyFill="1" applyAlignment="1">
      <alignment vertical="center" wrapText="1"/>
    </xf>
    <xf numFmtId="0" fontId="1" fillId="14" borderId="0" xfId="0" applyFont="1" applyFill="1" applyAlignment="1">
      <alignment horizontal="center" vertical="center"/>
    </xf>
    <xf numFmtId="0" fontId="1" fillId="15" borderId="0" xfId="0" applyFont="1" applyFill="1" applyAlignment="1">
      <alignment horizontal="center" vertical="center"/>
    </xf>
    <xf numFmtId="0" fontId="1" fillId="5" borderId="0" xfId="0" applyFont="1" applyFill="1" applyAlignment="1">
      <alignment horizontal="center" vertical="center"/>
    </xf>
    <xf numFmtId="0" fontId="1" fillId="16" borderId="0" xfId="0" applyFont="1" applyFill="1" applyAlignment="1">
      <alignment horizontal="center" vertical="center"/>
    </xf>
    <xf numFmtId="0" fontId="0" fillId="0" borderId="0" xfId="0" applyFont="1" applyAlignment="1">
      <alignment vertical="center" wrapText="1"/>
    </xf>
    <xf numFmtId="0" fontId="0" fillId="17" borderId="0" xfId="0" applyFill="1" applyAlignment="1">
      <alignment vertical="center" wrapText="1"/>
    </xf>
    <xf numFmtId="9" fontId="0" fillId="5" borderId="0" xfId="0" applyNumberFormat="1" applyFill="1" applyAlignment="1">
      <alignment vertical="center" wrapText="1"/>
    </xf>
    <xf numFmtId="9" fontId="0" fillId="7" borderId="0" xfId="0" applyNumberFormat="1" applyFill="1" applyAlignment="1">
      <alignment vertical="center" wrapText="1"/>
    </xf>
    <xf numFmtId="0" fontId="0" fillId="18" borderId="0" xfId="0" applyFill="1" applyAlignment="1">
      <alignment vertical="center" wrapText="1"/>
    </xf>
    <xf numFmtId="165" fontId="0" fillId="0" borderId="0" xfId="0" applyNumberFormat="1" applyAlignment="1">
      <alignment vertical="center" wrapText="1"/>
    </xf>
    <xf numFmtId="1" fontId="0" fillId="0" borderId="0" xfId="0" applyNumberFormat="1" applyAlignment="1">
      <alignment vertical="center" wrapText="1"/>
    </xf>
    <xf numFmtId="9" fontId="0" fillId="9" borderId="0" xfId="0" applyNumberFormat="1" applyFill="1" applyAlignment="1">
      <alignment vertical="center" wrapText="1"/>
    </xf>
    <xf numFmtId="9" fontId="0" fillId="13" borderId="0" xfId="0" applyNumberFormat="1" applyFill="1" applyAlignment="1">
      <alignment vertical="center" wrapText="1"/>
    </xf>
    <xf numFmtId="9" fontId="0" fillId="19" borderId="0" xfId="0" applyNumberFormat="1" applyFill="1" applyAlignment="1">
      <alignment vertical="center" wrapText="1"/>
    </xf>
    <xf numFmtId="3" fontId="0" fillId="9" borderId="0" xfId="0" applyNumberFormat="1" applyFill="1" applyAlignment="1">
      <alignment vertical="center" wrapText="1"/>
    </xf>
    <xf numFmtId="9" fontId="0" fillId="20" borderId="0" xfId="0" applyNumberFormat="1" applyFill="1" applyAlignment="1">
      <alignment vertical="center" wrapText="1"/>
    </xf>
    <xf numFmtId="164" fontId="0" fillId="0" borderId="0" xfId="0" applyNumberFormat="1" applyFill="1" applyAlignment="1">
      <alignment horizontal="right" vertical="center" wrapText="1"/>
    </xf>
    <xf numFmtId="164" fontId="0" fillId="0" borderId="0" xfId="0" applyNumberFormat="1" applyFill="1" applyAlignment="1">
      <alignment vertical="center" wrapText="1"/>
    </xf>
    <xf numFmtId="0" fontId="1" fillId="6" borderId="0" xfId="0" applyFont="1" applyFill="1" applyAlignment="1">
      <alignment horizontal="center" vertical="center"/>
    </xf>
    <xf numFmtId="9" fontId="0" fillId="0" borderId="0" xfId="0" applyNumberFormat="1" applyFill="1" applyAlignment="1">
      <alignment vertical="center" wrapText="1"/>
    </xf>
    <xf numFmtId="164" fontId="0" fillId="0" borderId="0" xfId="1" applyNumberFormat="1" applyFont="1" applyFill="1" applyAlignment="1">
      <alignment vertical="center" wrapText="1"/>
    </xf>
    <xf numFmtId="1" fontId="0" fillId="0" borderId="0" xfId="0" applyNumberFormat="1" applyFill="1" applyAlignment="1">
      <alignment vertical="center" wrapText="1"/>
    </xf>
    <xf numFmtId="165" fontId="0" fillId="0" borderId="0" xfId="0" applyNumberFormat="1" applyFill="1" applyAlignment="1">
      <alignment vertical="center" wrapText="1"/>
    </xf>
    <xf numFmtId="3" fontId="0" fillId="0" borderId="0" xfId="0" applyNumberFormat="1" applyFill="1" applyAlignment="1">
      <alignment vertical="center" wrapText="1"/>
    </xf>
    <xf numFmtId="4" fontId="0" fillId="0" borderId="0" xfId="0" applyNumberFormat="1" applyFill="1" applyAlignment="1">
      <alignment vertical="center" wrapText="1"/>
    </xf>
    <xf numFmtId="10" fontId="0" fillId="0" borderId="0" xfId="0" applyNumberFormat="1" applyFill="1" applyAlignment="1">
      <alignment vertical="center" wrapText="1"/>
    </xf>
    <xf numFmtId="0" fontId="1" fillId="6" borderId="0" xfId="0" applyFont="1" applyFill="1" applyAlignment="1">
      <alignment horizontal="center" vertical="center"/>
    </xf>
    <xf numFmtId="0" fontId="0" fillId="9" borderId="0" xfId="0" applyFill="1"/>
    <xf numFmtId="9" fontId="0" fillId="0" borderId="0" xfId="0" applyNumberFormat="1"/>
    <xf numFmtId="10" fontId="0" fillId="0" borderId="0" xfId="0" applyNumberFormat="1"/>
    <xf numFmtId="164" fontId="0" fillId="0" borderId="0" xfId="0" applyNumberFormat="1"/>
    <xf numFmtId="0" fontId="0" fillId="0" borderId="0" xfId="0" applyNumberFormat="1"/>
    <xf numFmtId="14" fontId="0" fillId="0" borderId="0" xfId="0" applyNumberFormat="1" applyAlignment="1">
      <alignment horizontal="right" vertical="center" wrapText="1"/>
    </xf>
    <xf numFmtId="14" fontId="0" fillId="0" borderId="0" xfId="0" applyNumberFormat="1" applyAlignment="1">
      <alignment vertical="center" wrapText="1"/>
    </xf>
    <xf numFmtId="14" fontId="0" fillId="0" borderId="0" xfId="0" applyNumberFormat="1"/>
    <xf numFmtId="0" fontId="1" fillId="6" borderId="0" xfId="0" applyFont="1" applyFill="1" applyAlignment="1">
      <alignment horizontal="center" vertical="center"/>
    </xf>
    <xf numFmtId="165" fontId="0" fillId="0" borderId="0" xfId="1" applyNumberFormat="1" applyFont="1" applyAlignment="1">
      <alignment vertical="center" wrapText="1"/>
    </xf>
    <xf numFmtId="165" fontId="0" fillId="0" borderId="0" xfId="0" applyNumberFormat="1"/>
    <xf numFmtId="0" fontId="0" fillId="21" borderId="0" xfId="0" applyFill="1"/>
    <xf numFmtId="0" fontId="0" fillId="14" borderId="0" xfId="0" applyFill="1"/>
    <xf numFmtId="0" fontId="1" fillId="6" borderId="0" xfId="0" applyFont="1" applyFill="1" applyAlignment="1">
      <alignment horizontal="center" vertical="center"/>
    </xf>
    <xf numFmtId="0" fontId="1" fillId="6" borderId="0" xfId="0" applyFont="1" applyFill="1" applyAlignment="1">
      <alignment horizontal="center" vertical="center"/>
    </xf>
    <xf numFmtId="0" fontId="1" fillId="3"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3" fillId="5" borderId="0" xfId="0" applyFont="1" applyFill="1" applyAlignment="1">
      <alignment horizontal="center" vertical="center"/>
    </xf>
    <xf numFmtId="0" fontId="1" fillId="8" borderId="0" xfId="0" applyFont="1" applyFill="1" applyAlignment="1">
      <alignment horizontal="center" vertical="center"/>
    </xf>
  </cellXfs>
  <cellStyles count="2">
    <cellStyle name="Normal" xfId="0" builtinId="0"/>
    <cellStyle name="Percent" xfId="1" builtinId="5"/>
  </cellStyles>
  <dxfs count="159">
    <dxf>
      <font>
        <color theme="5"/>
      </font>
      <fill>
        <patternFill>
          <bgColor theme="7"/>
        </patternFill>
      </fill>
    </dxf>
    <dxf>
      <font>
        <color theme="8"/>
      </font>
      <fill>
        <patternFill>
          <bgColor theme="4"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strike val="0"/>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strike val="0"/>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strike val="0"/>
        <color rgb="FFFF0000"/>
      </font>
      <fill>
        <patternFill>
          <bgColor theme="5" tint="0.79998168889431442"/>
        </patternFill>
      </fill>
    </dxf>
    <dxf>
      <font>
        <b/>
        <i val="0"/>
        <strike val="0"/>
        <color rgb="FFFF0000"/>
      </font>
      <fill>
        <patternFill>
          <bgColor theme="5" tint="0.79998168889431442"/>
        </patternFill>
      </fill>
    </dxf>
    <dxf>
      <font>
        <b/>
        <i val="0"/>
        <strike val="0"/>
        <color rgb="FFFF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0000"/>
  </sheetPr>
  <dimension ref="A1:AD132"/>
  <sheetViews>
    <sheetView zoomScale="70" zoomScaleNormal="70" workbookViewId="0">
      <pane ySplit="1" topLeftCell="A20" activePane="bottomLeft" state="frozen"/>
      <selection pane="bottomLeft" activeCell="D80" sqref="D80"/>
    </sheetView>
    <sheetView workbookViewId="1"/>
  </sheetViews>
  <sheetFormatPr defaultRowHeight="15" x14ac:dyDescent="0.25"/>
  <cols>
    <col min="1" max="1" width="5.85546875" bestFit="1" customWidth="1"/>
    <col min="4" max="4" width="29.28515625" customWidth="1"/>
    <col min="5" max="5" width="37.28515625" customWidth="1"/>
    <col min="6" max="6" width="15.85546875" customWidth="1"/>
    <col min="7" max="7" width="20.140625" customWidth="1"/>
    <col min="8" max="8" width="62.140625" customWidth="1"/>
    <col min="9" max="9" width="21.140625" customWidth="1"/>
    <col min="10" max="10" width="26.28515625" customWidth="1"/>
    <col min="12" max="12" width="14.42578125" bestFit="1" customWidth="1"/>
    <col min="20" max="20" width="25.5703125" customWidth="1"/>
    <col min="21" max="21" width="14.28515625" customWidth="1"/>
    <col min="22" max="22" width="12.42578125" customWidth="1"/>
  </cols>
  <sheetData>
    <row r="1" spans="1:30" ht="90" x14ac:dyDescent="0.25">
      <c r="A1" s="52" t="s">
        <v>689</v>
      </c>
      <c r="B1" s="52" t="s">
        <v>1</v>
      </c>
      <c r="C1" s="52" t="s">
        <v>427</v>
      </c>
      <c r="D1" s="52" t="s">
        <v>101</v>
      </c>
      <c r="E1" s="52" t="s">
        <v>601</v>
      </c>
      <c r="F1" s="52" t="s">
        <v>2</v>
      </c>
      <c r="G1" s="52" t="s">
        <v>395</v>
      </c>
      <c r="H1" s="52" t="s">
        <v>350</v>
      </c>
      <c r="I1" s="52" t="s">
        <v>142</v>
      </c>
      <c r="J1" s="52" t="s">
        <v>10</v>
      </c>
      <c r="K1" s="52" t="s">
        <v>201</v>
      </c>
      <c r="L1" s="52" t="s">
        <v>400</v>
      </c>
      <c r="M1" s="52" t="s">
        <v>415</v>
      </c>
      <c r="N1" s="52" t="s">
        <v>202</v>
      </c>
      <c r="O1" s="52" t="s">
        <v>652</v>
      </c>
      <c r="P1" s="52" t="s">
        <v>653</v>
      </c>
      <c r="Q1" s="52" t="s">
        <v>654</v>
      </c>
      <c r="R1" s="52" t="s">
        <v>655</v>
      </c>
      <c r="S1" s="52" t="s">
        <v>8</v>
      </c>
      <c r="T1" s="52" t="s">
        <v>429</v>
      </c>
      <c r="U1" s="53" t="s">
        <v>396</v>
      </c>
      <c r="V1" s="52" t="s">
        <v>648</v>
      </c>
      <c r="W1" s="54" t="s">
        <v>416</v>
      </c>
      <c r="X1" s="54" t="s">
        <v>417</v>
      </c>
      <c r="Y1" s="54" t="s">
        <v>418</v>
      </c>
      <c r="Z1" s="54" t="s">
        <v>419</v>
      </c>
      <c r="AA1" s="54" t="s">
        <v>420</v>
      </c>
      <c r="AB1" s="54" t="s">
        <v>421</v>
      </c>
      <c r="AC1" s="54" t="s">
        <v>454</v>
      </c>
      <c r="AD1" s="52" t="s">
        <v>148</v>
      </c>
    </row>
    <row r="2" spans="1:30" ht="60" x14ac:dyDescent="0.25">
      <c r="A2" s="58" t="s">
        <v>690</v>
      </c>
      <c r="B2" s="58" t="s">
        <v>0</v>
      </c>
      <c r="C2" s="58">
        <v>1</v>
      </c>
      <c r="D2" s="2" t="s">
        <v>102</v>
      </c>
      <c r="E2" s="2" t="s">
        <v>103</v>
      </c>
      <c r="F2" s="2" t="s">
        <v>500</v>
      </c>
      <c r="G2" s="8" t="s">
        <v>549</v>
      </c>
      <c r="H2" s="8" t="s">
        <v>437</v>
      </c>
      <c r="I2" s="8" t="s">
        <v>147</v>
      </c>
      <c r="J2" s="2" t="s">
        <v>684</v>
      </c>
      <c r="K2" s="41" t="s">
        <v>349</v>
      </c>
      <c r="L2" s="2">
        <v>4.95</v>
      </c>
      <c r="M2" s="2"/>
      <c r="N2" s="2"/>
      <c r="O2" s="2">
        <f>(($S2-$L2)/21*6)+$L2</f>
        <v>4.71</v>
      </c>
      <c r="P2" s="2">
        <f>(($S2-$L2)/21*10)+$L2</f>
        <v>4.5500000000000007</v>
      </c>
      <c r="Q2" s="2">
        <f>(($S2-$L2)/21*14)+$L2</f>
        <v>4.3900000000000006</v>
      </c>
      <c r="R2" s="5">
        <f>(($S2-$L2)/21*18)+$L2</f>
        <v>4.2300000000000004</v>
      </c>
      <c r="S2" s="5">
        <v>4.1100000000000003</v>
      </c>
      <c r="T2" s="73" t="s">
        <v>632</v>
      </c>
      <c r="U2" s="2" t="s">
        <v>397</v>
      </c>
      <c r="V2" t="s">
        <v>599</v>
      </c>
      <c r="W2" t="s">
        <v>432</v>
      </c>
      <c r="X2" t="s">
        <v>432</v>
      </c>
      <c r="Y2" t="s">
        <v>432</v>
      </c>
      <c r="AA2" t="s">
        <v>497</v>
      </c>
      <c r="AC2" t="s">
        <v>497</v>
      </c>
      <c r="AD2" s="2" t="s">
        <v>149</v>
      </c>
    </row>
    <row r="3" spans="1:30" ht="45" hidden="1" x14ac:dyDescent="0.25">
      <c r="A3" s="58"/>
      <c r="B3" s="58" t="s">
        <v>0</v>
      </c>
      <c r="C3" s="58">
        <v>1</v>
      </c>
      <c r="D3" s="2" t="s">
        <v>102</v>
      </c>
      <c r="E3" s="2" t="s">
        <v>103</v>
      </c>
      <c r="F3" s="2" t="s">
        <v>500</v>
      </c>
      <c r="G3" s="8" t="s">
        <v>471</v>
      </c>
      <c r="H3" s="8" t="s">
        <v>470</v>
      </c>
      <c r="I3" s="8" t="s">
        <v>146</v>
      </c>
      <c r="J3" s="2" t="s">
        <v>28</v>
      </c>
      <c r="K3" s="2"/>
      <c r="L3" s="2"/>
      <c r="M3" s="2"/>
      <c r="N3" s="2"/>
      <c r="O3" s="2"/>
      <c r="P3" s="2"/>
      <c r="Q3" s="2"/>
      <c r="R3" s="5"/>
      <c r="S3" s="5"/>
      <c r="T3" s="2"/>
      <c r="U3" s="2" t="s">
        <v>351</v>
      </c>
      <c r="W3" t="s">
        <v>432</v>
      </c>
      <c r="X3" t="s">
        <v>432</v>
      </c>
      <c r="Y3" t="s">
        <v>432</v>
      </c>
      <c r="AA3" t="s">
        <v>497</v>
      </c>
      <c r="AC3" t="s">
        <v>497</v>
      </c>
      <c r="AD3" s="2" t="s">
        <v>149</v>
      </c>
    </row>
    <row r="4" spans="1:30" ht="45" hidden="1" x14ac:dyDescent="0.25">
      <c r="A4" s="58"/>
      <c r="B4" s="58" t="s">
        <v>0</v>
      </c>
      <c r="C4" s="58">
        <v>1</v>
      </c>
      <c r="D4" s="2" t="s">
        <v>102</v>
      </c>
      <c r="E4" s="2" t="s">
        <v>103</v>
      </c>
      <c r="F4" s="2" t="s">
        <v>500</v>
      </c>
      <c r="G4" s="8" t="s">
        <v>550</v>
      </c>
      <c r="H4" s="8" t="s">
        <v>352</v>
      </c>
      <c r="I4" s="8"/>
      <c r="J4" s="2" t="s">
        <v>28</v>
      </c>
      <c r="K4" s="2">
        <v>2016</v>
      </c>
      <c r="L4" s="2">
        <v>430</v>
      </c>
      <c r="M4" s="2"/>
      <c r="N4" s="2"/>
      <c r="O4" s="2"/>
      <c r="P4" s="2"/>
      <c r="Q4" s="2"/>
      <c r="R4" s="5"/>
      <c r="S4" s="5"/>
      <c r="T4" s="2"/>
      <c r="U4" s="2" t="s">
        <v>398</v>
      </c>
      <c r="W4" t="s">
        <v>432</v>
      </c>
      <c r="X4" t="s">
        <v>432</v>
      </c>
      <c r="Y4" t="s">
        <v>432</v>
      </c>
      <c r="AA4" t="s">
        <v>492</v>
      </c>
      <c r="AC4" t="s">
        <v>497</v>
      </c>
      <c r="AD4" s="2" t="s">
        <v>150</v>
      </c>
    </row>
    <row r="5" spans="1:30" ht="60" hidden="1" x14ac:dyDescent="0.25">
      <c r="A5" s="58"/>
      <c r="B5" s="58" t="s">
        <v>0</v>
      </c>
      <c r="C5" s="58">
        <v>1</v>
      </c>
      <c r="D5" s="2" t="s">
        <v>102</v>
      </c>
      <c r="E5" s="2" t="s">
        <v>103</v>
      </c>
      <c r="F5" s="2" t="s">
        <v>500</v>
      </c>
      <c r="G5" s="8" t="s">
        <v>353</v>
      </c>
      <c r="H5" s="8" t="s">
        <v>438</v>
      </c>
      <c r="I5" s="8" t="s">
        <v>144</v>
      </c>
      <c r="J5" s="2" t="s">
        <v>151</v>
      </c>
      <c r="K5" s="2"/>
      <c r="L5" s="2"/>
      <c r="M5" s="2"/>
      <c r="N5" s="2"/>
      <c r="O5" s="2"/>
      <c r="P5" s="2"/>
      <c r="Q5" s="2"/>
      <c r="R5" s="5"/>
      <c r="S5" s="5"/>
      <c r="T5" s="2"/>
      <c r="U5" s="2" t="s">
        <v>351</v>
      </c>
      <c r="W5" s="3"/>
      <c r="X5" s="3"/>
      <c r="Y5" s="3"/>
      <c r="Z5" s="3"/>
      <c r="AA5" s="3" t="s">
        <v>494</v>
      </c>
      <c r="AB5" s="3"/>
      <c r="AC5" s="3" t="s">
        <v>494</v>
      </c>
      <c r="AD5" s="2" t="s">
        <v>150</v>
      </c>
    </row>
    <row r="6" spans="1:30" ht="45" hidden="1" x14ac:dyDescent="0.25">
      <c r="A6" s="58"/>
      <c r="B6" s="58" t="s">
        <v>0</v>
      </c>
      <c r="C6" s="58">
        <v>1</v>
      </c>
      <c r="D6" s="2" t="s">
        <v>102</v>
      </c>
      <c r="E6" s="2" t="s">
        <v>103</v>
      </c>
      <c r="F6" s="2" t="s">
        <v>500</v>
      </c>
      <c r="G6" s="8" t="s">
        <v>513</v>
      </c>
      <c r="H6" s="44" t="s">
        <v>466</v>
      </c>
      <c r="I6" s="8" t="s">
        <v>113</v>
      </c>
      <c r="J6" s="2" t="s">
        <v>13</v>
      </c>
      <c r="K6" s="2">
        <v>2018</v>
      </c>
      <c r="L6" s="42">
        <v>0.85199999999999998</v>
      </c>
      <c r="M6" s="2">
        <v>2019</v>
      </c>
      <c r="N6" s="42">
        <v>0.89100000000000001</v>
      </c>
      <c r="O6" s="42"/>
      <c r="P6" s="42"/>
      <c r="Q6" s="42"/>
      <c r="R6" s="5"/>
      <c r="S6" s="5"/>
      <c r="T6" s="2"/>
      <c r="U6" s="2" t="s">
        <v>398</v>
      </c>
      <c r="W6" t="s">
        <v>432</v>
      </c>
      <c r="X6" t="s">
        <v>432</v>
      </c>
      <c r="Y6" t="s">
        <v>455</v>
      </c>
      <c r="AA6" t="s">
        <v>497</v>
      </c>
      <c r="AC6" t="s">
        <v>494</v>
      </c>
      <c r="AD6" s="2" t="s">
        <v>150</v>
      </c>
    </row>
    <row r="7" spans="1:30" ht="45" x14ac:dyDescent="0.25">
      <c r="A7" s="58" t="s">
        <v>692</v>
      </c>
      <c r="B7" s="58" t="s">
        <v>0</v>
      </c>
      <c r="C7" s="58">
        <v>1</v>
      </c>
      <c r="D7" s="2" t="s">
        <v>102</v>
      </c>
      <c r="E7" s="2" t="s">
        <v>103</v>
      </c>
      <c r="F7" s="2" t="s">
        <v>500</v>
      </c>
      <c r="G7" s="8" t="s">
        <v>514</v>
      </c>
      <c r="H7" s="8" t="s">
        <v>746</v>
      </c>
      <c r="I7" s="8" t="s">
        <v>113</v>
      </c>
      <c r="J7" s="2" t="s">
        <v>13</v>
      </c>
      <c r="K7" s="2">
        <v>2018</v>
      </c>
      <c r="L7" s="42">
        <v>0.68400000000000005</v>
      </c>
      <c r="M7" s="30">
        <v>2019</v>
      </c>
      <c r="N7" s="42">
        <v>0.67200000000000004</v>
      </c>
      <c r="O7" s="42">
        <f>(($S7-$L7)/21*6)+$L7</f>
        <v>0.71714285714285719</v>
      </c>
      <c r="P7" s="42">
        <f>(($S7-$L7)/21*10)+$L7</f>
        <v>0.73923809523809525</v>
      </c>
      <c r="Q7" s="42">
        <f>(($S7-$L7)/21*14)+$L7</f>
        <v>0.76133333333333342</v>
      </c>
      <c r="R7" s="75">
        <f>(($S7-$L7)/21*18)+$L7</f>
        <v>0.78342857142857147</v>
      </c>
      <c r="S7" s="75">
        <v>0.8</v>
      </c>
      <c r="T7" s="73" t="s">
        <v>625</v>
      </c>
      <c r="U7" s="2" t="s">
        <v>397</v>
      </c>
      <c r="V7" t="s">
        <v>599</v>
      </c>
      <c r="W7" t="s">
        <v>432</v>
      </c>
      <c r="X7" t="s">
        <v>432</v>
      </c>
      <c r="Y7" t="s">
        <v>432</v>
      </c>
      <c r="AA7" t="s">
        <v>494</v>
      </c>
      <c r="AC7" t="s">
        <v>494</v>
      </c>
      <c r="AD7" s="2"/>
    </row>
    <row r="8" spans="1:30" ht="75" hidden="1" x14ac:dyDescent="0.25">
      <c r="A8" s="58"/>
      <c r="B8" s="58" t="s">
        <v>0</v>
      </c>
      <c r="C8" s="58">
        <v>1</v>
      </c>
      <c r="D8" s="2" t="s">
        <v>102</v>
      </c>
      <c r="E8" s="2" t="s">
        <v>103</v>
      </c>
      <c r="F8" s="2" t="s">
        <v>500</v>
      </c>
      <c r="G8" s="8" t="s">
        <v>503</v>
      </c>
      <c r="H8" s="20" t="s">
        <v>746</v>
      </c>
      <c r="I8" s="8" t="s">
        <v>113</v>
      </c>
      <c r="J8" s="2" t="s">
        <v>15</v>
      </c>
      <c r="K8" s="2">
        <v>2018</v>
      </c>
      <c r="L8" s="2">
        <v>10</v>
      </c>
      <c r="M8" s="2"/>
      <c r="N8" s="2"/>
      <c r="O8" s="2"/>
      <c r="P8" s="2"/>
      <c r="Q8" s="2"/>
      <c r="R8" s="5"/>
      <c r="S8" s="5"/>
      <c r="T8" s="2"/>
      <c r="U8" s="2" t="s">
        <v>398</v>
      </c>
      <c r="W8" t="s">
        <v>432</v>
      </c>
      <c r="X8" t="s">
        <v>432</v>
      </c>
      <c r="AA8" t="s">
        <v>494</v>
      </c>
      <c r="AC8" t="s">
        <v>494</v>
      </c>
      <c r="AD8" s="2"/>
    </row>
    <row r="9" spans="1:30" ht="45" x14ac:dyDescent="0.25">
      <c r="A9" s="58" t="s">
        <v>691</v>
      </c>
      <c r="B9" s="58" t="s">
        <v>0</v>
      </c>
      <c r="C9" s="58">
        <v>1</v>
      </c>
      <c r="D9" s="2" t="s">
        <v>102</v>
      </c>
      <c r="E9" s="2" t="s">
        <v>103</v>
      </c>
      <c r="F9" s="2" t="s">
        <v>500</v>
      </c>
      <c r="G9" s="8" t="s">
        <v>657</v>
      </c>
      <c r="H9" s="8" t="s">
        <v>747</v>
      </c>
      <c r="I9" s="8" t="s">
        <v>113</v>
      </c>
      <c r="J9" s="2" t="s">
        <v>13</v>
      </c>
      <c r="K9" s="2">
        <v>2018</v>
      </c>
      <c r="L9" s="42">
        <v>0.63</v>
      </c>
      <c r="M9" s="2">
        <v>2019</v>
      </c>
      <c r="N9" s="42">
        <v>0.60699999999999998</v>
      </c>
      <c r="O9" s="42">
        <f>(($S9-$L9)/21*6)+$L9</f>
        <v>0.70714285714285718</v>
      </c>
      <c r="P9" s="42">
        <f>(($S9-$L9)/21*10)+$L9</f>
        <v>0.75857142857142856</v>
      </c>
      <c r="Q9" s="42">
        <f>(($S9-$L9)/21*14)+$L9</f>
        <v>0.81</v>
      </c>
      <c r="R9" s="75">
        <f>(($S9-$L9)/21*18)+$L9</f>
        <v>0.86142857142857143</v>
      </c>
      <c r="S9" s="75">
        <v>0.9</v>
      </c>
      <c r="T9" s="73" t="s">
        <v>625</v>
      </c>
      <c r="U9" s="2" t="s">
        <v>397</v>
      </c>
      <c r="V9" t="s">
        <v>599</v>
      </c>
      <c r="W9" t="s">
        <v>432</v>
      </c>
      <c r="X9" t="s">
        <v>432</v>
      </c>
      <c r="Y9" t="s">
        <v>432</v>
      </c>
      <c r="AA9" t="s">
        <v>494</v>
      </c>
      <c r="AC9" t="s">
        <v>494</v>
      </c>
      <c r="AD9" s="2" t="s">
        <v>149</v>
      </c>
    </row>
    <row r="10" spans="1:30" ht="90" hidden="1" x14ac:dyDescent="0.25">
      <c r="A10" s="58"/>
      <c r="B10" s="58" t="s">
        <v>0</v>
      </c>
      <c r="C10" s="58">
        <v>2</v>
      </c>
      <c r="D10" s="2" t="s">
        <v>104</v>
      </c>
      <c r="E10" s="2" t="s">
        <v>105</v>
      </c>
      <c r="F10" s="2" t="s">
        <v>572</v>
      </c>
      <c r="G10" s="9" t="s">
        <v>439</v>
      </c>
      <c r="H10" s="9" t="s">
        <v>541</v>
      </c>
      <c r="I10" s="8" t="s">
        <v>113</v>
      </c>
      <c r="J10" s="2" t="s">
        <v>13</v>
      </c>
      <c r="K10" s="3">
        <v>2018</v>
      </c>
      <c r="L10" s="2">
        <v>60</v>
      </c>
      <c r="M10" s="2">
        <v>2019</v>
      </c>
      <c r="N10" s="2">
        <v>58</v>
      </c>
      <c r="O10" s="2"/>
      <c r="P10" s="2"/>
      <c r="Q10" s="2"/>
      <c r="R10" s="5"/>
      <c r="S10" s="5"/>
      <c r="T10" s="2"/>
      <c r="U10" s="2" t="s">
        <v>398</v>
      </c>
      <c r="W10" t="s">
        <v>432</v>
      </c>
      <c r="X10" t="s">
        <v>432</v>
      </c>
      <c r="Y10" t="s">
        <v>432</v>
      </c>
      <c r="AA10" t="s">
        <v>494</v>
      </c>
      <c r="AC10" t="s">
        <v>492</v>
      </c>
      <c r="AD10" s="3"/>
    </row>
    <row r="11" spans="1:30" ht="150" x14ac:dyDescent="0.25">
      <c r="A11" s="58" t="s">
        <v>693</v>
      </c>
      <c r="B11" s="58" t="s">
        <v>0</v>
      </c>
      <c r="C11" s="58">
        <v>2</v>
      </c>
      <c r="D11" s="2" t="s">
        <v>104</v>
      </c>
      <c r="E11" s="2" t="s">
        <v>105</v>
      </c>
      <c r="F11" s="2" t="s">
        <v>572</v>
      </c>
      <c r="G11" s="9" t="s">
        <v>658</v>
      </c>
      <c r="H11" s="43" t="s">
        <v>491</v>
      </c>
      <c r="I11" s="8" t="s">
        <v>683</v>
      </c>
      <c r="J11" s="8" t="s">
        <v>682</v>
      </c>
      <c r="K11" s="23"/>
      <c r="L11" s="20"/>
      <c r="M11" s="20"/>
      <c r="N11" s="20"/>
      <c r="O11" s="42"/>
      <c r="P11" s="42"/>
      <c r="Q11" s="42"/>
      <c r="R11" s="5"/>
      <c r="S11" s="5"/>
      <c r="T11" s="70" t="s">
        <v>602</v>
      </c>
      <c r="U11" s="2" t="s">
        <v>397</v>
      </c>
      <c r="V11" t="s">
        <v>599</v>
      </c>
      <c r="W11" s="3"/>
      <c r="X11" s="3"/>
      <c r="Y11" s="3"/>
      <c r="Z11" s="3"/>
      <c r="AA11" s="3" t="s">
        <v>494</v>
      </c>
      <c r="AB11" s="3"/>
      <c r="AC11" s="3" t="s">
        <v>494</v>
      </c>
      <c r="AD11" s="3" t="s">
        <v>149</v>
      </c>
    </row>
    <row r="12" spans="1:30" ht="75" hidden="1" x14ac:dyDescent="0.25">
      <c r="A12" s="58"/>
      <c r="B12" s="58" t="s">
        <v>0</v>
      </c>
      <c r="C12" s="58">
        <v>2</v>
      </c>
      <c r="D12" s="2" t="s">
        <v>104</v>
      </c>
      <c r="E12" s="2" t="s">
        <v>105</v>
      </c>
      <c r="F12" s="2" t="s">
        <v>572</v>
      </c>
      <c r="G12" s="9" t="s">
        <v>472</v>
      </c>
      <c r="H12" s="9" t="s">
        <v>355</v>
      </c>
      <c r="I12" s="8" t="s">
        <v>146</v>
      </c>
      <c r="J12" s="2" t="s">
        <v>151</v>
      </c>
      <c r="K12" s="3" t="s">
        <v>354</v>
      </c>
      <c r="L12" s="2">
        <v>6.33</v>
      </c>
      <c r="M12" s="2" t="s">
        <v>606</v>
      </c>
      <c r="N12" s="2">
        <v>5.37</v>
      </c>
      <c r="O12" s="2"/>
      <c r="P12" s="2"/>
      <c r="Q12" s="2"/>
      <c r="R12" s="5"/>
      <c r="S12" s="5"/>
      <c r="T12" s="2"/>
      <c r="U12" s="2" t="s">
        <v>398</v>
      </c>
      <c r="W12" t="s">
        <v>432</v>
      </c>
      <c r="X12" t="s">
        <v>432</v>
      </c>
      <c r="Y12" t="s">
        <v>432</v>
      </c>
      <c r="AA12" t="s">
        <v>494</v>
      </c>
      <c r="AC12" t="s">
        <v>494</v>
      </c>
      <c r="AD12" s="3" t="s">
        <v>150</v>
      </c>
    </row>
    <row r="13" spans="1:30" ht="75" hidden="1" x14ac:dyDescent="0.25">
      <c r="A13" s="58"/>
      <c r="B13" s="58" t="s">
        <v>0</v>
      </c>
      <c r="C13" s="58">
        <v>2</v>
      </c>
      <c r="D13" s="2" t="s">
        <v>104</v>
      </c>
      <c r="E13" s="2" t="s">
        <v>105</v>
      </c>
      <c r="F13" s="2" t="s">
        <v>572</v>
      </c>
      <c r="G13" s="8" t="s">
        <v>473</v>
      </c>
      <c r="H13" s="20" t="s">
        <v>144</v>
      </c>
      <c r="I13" s="9" t="s">
        <v>143</v>
      </c>
      <c r="J13" s="2" t="s">
        <v>144</v>
      </c>
      <c r="K13" s="2"/>
      <c r="L13" s="2"/>
      <c r="M13" s="2"/>
      <c r="N13" s="2"/>
      <c r="O13" s="2"/>
      <c r="P13" s="2"/>
      <c r="Q13" s="2"/>
      <c r="R13" s="5"/>
      <c r="S13" s="5"/>
      <c r="T13" s="2"/>
      <c r="U13" s="2" t="s">
        <v>398</v>
      </c>
      <c r="W13" s="3"/>
      <c r="X13" s="3"/>
      <c r="Y13" s="3"/>
      <c r="Z13" s="3"/>
      <c r="AA13" s="3" t="s">
        <v>494</v>
      </c>
      <c r="AB13" s="3"/>
      <c r="AC13" s="3" t="s">
        <v>494</v>
      </c>
      <c r="AD13" s="2"/>
    </row>
    <row r="14" spans="1:30" ht="75" hidden="1" x14ac:dyDescent="0.25">
      <c r="A14" s="58"/>
      <c r="B14" s="58" t="s">
        <v>0</v>
      </c>
      <c r="C14" s="58">
        <v>2</v>
      </c>
      <c r="D14" s="2" t="s">
        <v>104</v>
      </c>
      <c r="E14" s="2" t="s">
        <v>105</v>
      </c>
      <c r="F14" s="2" t="s">
        <v>572</v>
      </c>
      <c r="G14" s="8" t="s">
        <v>548</v>
      </c>
      <c r="H14" s="20" t="s">
        <v>547</v>
      </c>
      <c r="I14" s="43" t="s">
        <v>143</v>
      </c>
      <c r="J14" s="20" t="s">
        <v>433</v>
      </c>
      <c r="K14" s="2"/>
      <c r="L14" s="2"/>
      <c r="M14" s="2"/>
      <c r="N14" s="2"/>
      <c r="O14" s="2"/>
      <c r="P14" s="2"/>
      <c r="Q14" s="2"/>
      <c r="R14" s="5"/>
      <c r="S14" s="5"/>
      <c r="T14" s="2"/>
      <c r="U14" s="2" t="s">
        <v>401</v>
      </c>
      <c r="W14" s="3"/>
      <c r="X14" s="3"/>
      <c r="Y14" s="3"/>
      <c r="Z14" s="3"/>
      <c r="AA14" s="3" t="s">
        <v>492</v>
      </c>
      <c r="AB14" s="3"/>
      <c r="AC14" s="3" t="s">
        <v>492</v>
      </c>
      <c r="AD14" s="2"/>
    </row>
    <row r="15" spans="1:30" ht="75" x14ac:dyDescent="0.25">
      <c r="A15" s="58" t="s">
        <v>694</v>
      </c>
      <c r="B15" s="58" t="s">
        <v>0</v>
      </c>
      <c r="C15" s="58">
        <v>3</v>
      </c>
      <c r="D15" s="2" t="s">
        <v>106</v>
      </c>
      <c r="E15" s="2" t="s">
        <v>107</v>
      </c>
      <c r="F15" s="2" t="s">
        <v>187</v>
      </c>
      <c r="G15" s="8" t="s">
        <v>659</v>
      </c>
      <c r="H15" s="8" t="s">
        <v>515</v>
      </c>
      <c r="I15" s="8" t="s">
        <v>143</v>
      </c>
      <c r="J15" s="5" t="s">
        <v>152</v>
      </c>
      <c r="K15" s="2">
        <v>2018</v>
      </c>
      <c r="L15" s="42">
        <v>0.48499999999999999</v>
      </c>
      <c r="M15" s="2">
        <v>2019</v>
      </c>
      <c r="N15" s="45">
        <v>0.45600000000000002</v>
      </c>
      <c r="O15" s="42">
        <f>(($S15-$L15)/21*6)+$L15</f>
        <v>0.57499999999999996</v>
      </c>
      <c r="P15" s="42">
        <f>(($S15-$L15)/21*10)+$L15</f>
        <v>0.63500000000000001</v>
      </c>
      <c r="Q15" s="42">
        <f>(($S15-$L15)/21*14)+$L15</f>
        <v>0.69500000000000006</v>
      </c>
      <c r="R15" s="75">
        <f>(($S15-$L15)/21*18)+$L15</f>
        <v>0.75500000000000012</v>
      </c>
      <c r="S15" s="75">
        <v>0.8</v>
      </c>
      <c r="T15" s="73" t="s">
        <v>625</v>
      </c>
      <c r="U15" s="2" t="s">
        <v>397</v>
      </c>
      <c r="V15" t="s">
        <v>599</v>
      </c>
      <c r="W15" t="s">
        <v>432</v>
      </c>
      <c r="X15" t="s">
        <v>432</v>
      </c>
      <c r="Y15" t="s">
        <v>432</v>
      </c>
      <c r="AA15" s="3" t="s">
        <v>492</v>
      </c>
      <c r="AC15" s="3" t="s">
        <v>492</v>
      </c>
      <c r="AD15" s="2" t="s">
        <v>149</v>
      </c>
    </row>
    <row r="16" spans="1:30" ht="75" hidden="1" x14ac:dyDescent="0.25">
      <c r="A16" s="58"/>
      <c r="B16" s="58" t="s">
        <v>0</v>
      </c>
      <c r="C16" s="58">
        <v>3</v>
      </c>
      <c r="D16" s="2" t="s">
        <v>106</v>
      </c>
      <c r="E16" s="2" t="s">
        <v>107</v>
      </c>
      <c r="F16" s="2" t="s">
        <v>187</v>
      </c>
      <c r="G16" s="55" t="s">
        <v>512</v>
      </c>
      <c r="H16" s="55" t="s">
        <v>483</v>
      </c>
      <c r="I16" s="8" t="s">
        <v>143</v>
      </c>
      <c r="J16" s="2" t="s">
        <v>13</v>
      </c>
      <c r="K16" s="2"/>
      <c r="L16" s="2"/>
      <c r="M16" s="2"/>
      <c r="N16" s="2"/>
      <c r="O16" s="42"/>
      <c r="P16" s="42"/>
      <c r="Q16" s="42"/>
      <c r="R16" s="5"/>
      <c r="S16" s="5"/>
      <c r="T16" s="2"/>
      <c r="U16" s="2" t="s">
        <v>398</v>
      </c>
      <c r="W16" s="3"/>
      <c r="X16" s="3"/>
      <c r="Y16" s="3"/>
      <c r="Z16" s="3"/>
      <c r="AA16" s="3" t="s">
        <v>492</v>
      </c>
      <c r="AB16" s="3"/>
      <c r="AC16" s="3" t="s">
        <v>492</v>
      </c>
      <c r="AD16" s="2"/>
    </row>
    <row r="17" spans="1:30" ht="75" hidden="1" x14ac:dyDescent="0.25">
      <c r="A17" s="58"/>
      <c r="B17" s="58" t="s">
        <v>0</v>
      </c>
      <c r="C17" s="58">
        <v>3</v>
      </c>
      <c r="D17" s="2" t="s">
        <v>106</v>
      </c>
      <c r="E17" s="2" t="s">
        <v>107</v>
      </c>
      <c r="F17" s="2" t="s">
        <v>187</v>
      </c>
      <c r="G17" s="8" t="s">
        <v>474</v>
      </c>
      <c r="H17" s="8" t="s">
        <v>456</v>
      </c>
      <c r="I17" s="8" t="s">
        <v>143</v>
      </c>
      <c r="J17" s="2" t="s">
        <v>436</v>
      </c>
      <c r="K17" s="2">
        <v>2014</v>
      </c>
      <c r="L17" s="2">
        <v>8.1</v>
      </c>
      <c r="M17" s="2"/>
      <c r="N17" s="2"/>
      <c r="O17" s="42"/>
      <c r="P17" s="42"/>
      <c r="Q17" s="42"/>
      <c r="R17" s="5"/>
      <c r="S17" s="5"/>
      <c r="T17" s="2"/>
      <c r="U17" s="2" t="s">
        <v>398</v>
      </c>
      <c r="W17" t="s">
        <v>432</v>
      </c>
      <c r="X17" t="s">
        <v>432</v>
      </c>
      <c r="Y17" t="s">
        <v>432</v>
      </c>
      <c r="AA17" s="3" t="s">
        <v>492</v>
      </c>
      <c r="AC17" s="3" t="s">
        <v>492</v>
      </c>
      <c r="AD17" s="2"/>
    </row>
    <row r="18" spans="1:30" ht="75" x14ac:dyDescent="0.25">
      <c r="A18" s="58" t="s">
        <v>695</v>
      </c>
      <c r="B18" s="58" t="s">
        <v>0</v>
      </c>
      <c r="C18" s="58">
        <v>3</v>
      </c>
      <c r="D18" s="2" t="s">
        <v>106</v>
      </c>
      <c r="E18" s="2" t="s">
        <v>107</v>
      </c>
      <c r="F18" s="2" t="s">
        <v>187</v>
      </c>
      <c r="G18" s="8" t="s">
        <v>511</v>
      </c>
      <c r="H18" s="8" t="s">
        <v>360</v>
      </c>
      <c r="I18" s="8" t="s">
        <v>147</v>
      </c>
      <c r="J18" s="2" t="s">
        <v>12</v>
      </c>
      <c r="K18" s="2">
        <v>2017</v>
      </c>
      <c r="L18" s="42">
        <v>0.57699999999999996</v>
      </c>
      <c r="M18" s="2"/>
      <c r="N18" s="2"/>
      <c r="O18" s="42">
        <f>(($S18-$L18)/21*6)+$L18</f>
        <v>0.5832857142857143</v>
      </c>
      <c r="P18" s="42">
        <f>(($S18-$L18)/21*10)+$L18</f>
        <v>0.58747619047619049</v>
      </c>
      <c r="Q18" s="42">
        <f>(($S18-$L18)/21*14)+$L18</f>
        <v>0.59166666666666667</v>
      </c>
      <c r="R18" s="77">
        <f>(($S18-$L18)/21*18)+$L18</f>
        <v>0.59585714285714286</v>
      </c>
      <c r="S18" s="77">
        <v>0.59899999999999998</v>
      </c>
      <c r="T18" s="73" t="s">
        <v>677</v>
      </c>
      <c r="U18" s="2" t="s">
        <v>397</v>
      </c>
      <c r="V18" t="s">
        <v>599</v>
      </c>
      <c r="W18" t="s">
        <v>432</v>
      </c>
      <c r="X18" t="s">
        <v>432</v>
      </c>
      <c r="Y18" t="s">
        <v>432</v>
      </c>
      <c r="Z18" t="s">
        <v>432</v>
      </c>
      <c r="AA18" s="3" t="s">
        <v>492</v>
      </c>
      <c r="AC18" s="3" t="s">
        <v>492</v>
      </c>
      <c r="AD18" s="2" t="s">
        <v>150</v>
      </c>
    </row>
    <row r="19" spans="1:30" ht="75" x14ac:dyDescent="0.25">
      <c r="A19" s="58" t="s">
        <v>698</v>
      </c>
      <c r="B19" s="58" t="s">
        <v>0</v>
      </c>
      <c r="C19" s="58">
        <v>3</v>
      </c>
      <c r="D19" s="2" t="s">
        <v>106</v>
      </c>
      <c r="E19" s="2" t="s">
        <v>107</v>
      </c>
      <c r="F19" s="2" t="s">
        <v>187</v>
      </c>
      <c r="G19" s="8" t="s">
        <v>509</v>
      </c>
      <c r="H19" s="8" t="s">
        <v>356</v>
      </c>
      <c r="I19" s="8" t="s">
        <v>147</v>
      </c>
      <c r="J19" s="2" t="s">
        <v>12</v>
      </c>
      <c r="K19" s="3">
        <v>2017</v>
      </c>
      <c r="L19" s="42">
        <v>0.125</v>
      </c>
      <c r="M19" s="2"/>
      <c r="N19" s="2"/>
      <c r="O19" s="42">
        <f t="shared" ref="O19:O20" si="0">(($S19-$L19)/21*6)+$L19</f>
        <v>0.11457142857142857</v>
      </c>
      <c r="P19" s="42">
        <f t="shared" ref="P19:P20" si="1">(($S19-$L19)/21*10)+$L19</f>
        <v>0.10761904761904761</v>
      </c>
      <c r="Q19" s="42">
        <f t="shared" ref="Q19:Q20" si="2">(($S19-$L19)/21*14)+$L19</f>
        <v>0.10066666666666667</v>
      </c>
      <c r="R19" s="78">
        <f t="shared" ref="R19:R20" si="3">(($S19-$L19)/21*18)+$L19</f>
        <v>9.3714285714285708E-2</v>
      </c>
      <c r="S19" s="78">
        <v>8.8499999999999995E-2</v>
      </c>
      <c r="T19" s="73" t="s">
        <v>641</v>
      </c>
      <c r="U19" s="2" t="s">
        <v>397</v>
      </c>
      <c r="V19" t="s">
        <v>649</v>
      </c>
      <c r="W19" t="s">
        <v>432</v>
      </c>
      <c r="X19" t="s">
        <v>432</v>
      </c>
      <c r="Y19" t="s">
        <v>432</v>
      </c>
      <c r="AA19" s="3" t="s">
        <v>492</v>
      </c>
      <c r="AC19" s="3" t="s">
        <v>492</v>
      </c>
      <c r="AD19" s="3" t="s">
        <v>149</v>
      </c>
    </row>
    <row r="20" spans="1:30" ht="120" x14ac:dyDescent="0.25">
      <c r="A20" s="58" t="s">
        <v>739</v>
      </c>
      <c r="B20" s="58" t="s">
        <v>0</v>
      </c>
      <c r="C20" s="58">
        <v>3</v>
      </c>
      <c r="D20" s="2" t="s">
        <v>106</v>
      </c>
      <c r="E20" s="2" t="s">
        <v>107</v>
      </c>
      <c r="F20" s="2" t="s">
        <v>187</v>
      </c>
      <c r="G20" s="8" t="s">
        <v>568</v>
      </c>
      <c r="H20" s="8" t="s">
        <v>510</v>
      </c>
      <c r="I20" s="8" t="s">
        <v>147</v>
      </c>
      <c r="J20" s="2" t="s">
        <v>13</v>
      </c>
      <c r="K20" s="2">
        <v>2018</v>
      </c>
      <c r="L20" s="42">
        <v>0.628</v>
      </c>
      <c r="M20" s="2">
        <v>2019</v>
      </c>
      <c r="N20" s="45">
        <v>0.67</v>
      </c>
      <c r="O20" s="42">
        <f t="shared" si="0"/>
        <v>0.67714285714285716</v>
      </c>
      <c r="P20" s="42">
        <f t="shared" si="1"/>
        <v>0.70990476190476193</v>
      </c>
      <c r="Q20" s="42">
        <f t="shared" si="2"/>
        <v>0.7426666666666667</v>
      </c>
      <c r="R20" s="75">
        <f t="shared" si="3"/>
        <v>0.77542857142857147</v>
      </c>
      <c r="S20" s="75">
        <v>0.8</v>
      </c>
      <c r="T20" s="73" t="s">
        <v>676</v>
      </c>
      <c r="U20" s="2" t="s">
        <v>397</v>
      </c>
      <c r="V20" t="s">
        <v>599</v>
      </c>
      <c r="W20" t="s">
        <v>432</v>
      </c>
      <c r="X20" t="s">
        <v>432</v>
      </c>
      <c r="Y20" t="s">
        <v>432</v>
      </c>
      <c r="AA20" s="3" t="s">
        <v>494</v>
      </c>
      <c r="AC20" s="3" t="s">
        <v>492</v>
      </c>
      <c r="AD20" s="2" t="s">
        <v>149</v>
      </c>
    </row>
    <row r="21" spans="1:30" ht="75" hidden="1" x14ac:dyDescent="0.25">
      <c r="A21" s="58"/>
      <c r="B21" s="58" t="s">
        <v>0</v>
      </c>
      <c r="C21" s="58">
        <v>3</v>
      </c>
      <c r="D21" s="2" t="s">
        <v>106</v>
      </c>
      <c r="E21" s="2" t="s">
        <v>107</v>
      </c>
      <c r="F21" s="2" t="s">
        <v>187</v>
      </c>
      <c r="G21" s="8" t="s">
        <v>508</v>
      </c>
      <c r="H21" s="8" t="s">
        <v>357</v>
      </c>
      <c r="I21" s="8" t="s">
        <v>147</v>
      </c>
      <c r="J21" s="2" t="s">
        <v>13</v>
      </c>
      <c r="K21" s="2">
        <v>2018</v>
      </c>
      <c r="L21" s="42">
        <v>0.92100000000000004</v>
      </c>
      <c r="M21" s="2">
        <v>2019</v>
      </c>
      <c r="N21" s="45">
        <v>0.93100000000000005</v>
      </c>
      <c r="O21" s="42"/>
      <c r="P21" s="42"/>
      <c r="Q21" s="42"/>
      <c r="R21" s="5"/>
      <c r="S21" s="5"/>
      <c r="T21" s="2"/>
      <c r="U21" s="2" t="s">
        <v>398</v>
      </c>
      <c r="W21" t="s">
        <v>432</v>
      </c>
      <c r="X21" t="s">
        <v>432</v>
      </c>
      <c r="Y21" t="s">
        <v>432</v>
      </c>
      <c r="AA21" s="3" t="s">
        <v>494</v>
      </c>
      <c r="AC21" s="3" t="s">
        <v>492</v>
      </c>
      <c r="AD21" s="2" t="s">
        <v>149</v>
      </c>
    </row>
    <row r="22" spans="1:30" ht="75" hidden="1" x14ac:dyDescent="0.25">
      <c r="A22" s="58"/>
      <c r="B22" s="58" t="s">
        <v>0</v>
      </c>
      <c r="C22" s="58">
        <v>3</v>
      </c>
      <c r="D22" s="2" t="s">
        <v>106</v>
      </c>
      <c r="E22" s="2" t="s">
        <v>107</v>
      </c>
      <c r="F22" s="2" t="s">
        <v>187</v>
      </c>
      <c r="G22" s="8" t="s">
        <v>358</v>
      </c>
      <c r="H22" s="8" t="s">
        <v>359</v>
      </c>
      <c r="I22" s="8" t="s">
        <v>113</v>
      </c>
      <c r="J22" s="2" t="s">
        <v>14</v>
      </c>
      <c r="K22" s="2">
        <v>2018</v>
      </c>
      <c r="L22" s="2">
        <v>657.5</v>
      </c>
      <c r="M22" s="2"/>
      <c r="N22" s="2"/>
      <c r="O22" s="42"/>
      <c r="P22" s="42"/>
      <c r="Q22" s="42"/>
      <c r="R22" s="5"/>
      <c r="S22" s="5"/>
      <c r="T22" s="2"/>
      <c r="U22" s="2" t="s">
        <v>398</v>
      </c>
      <c r="W22" t="s">
        <v>432</v>
      </c>
      <c r="X22" t="s">
        <v>432</v>
      </c>
      <c r="Y22" t="s">
        <v>432</v>
      </c>
      <c r="AA22" s="3" t="s">
        <v>494</v>
      </c>
      <c r="AC22" s="3" t="s">
        <v>494</v>
      </c>
      <c r="AD22" s="2" t="s">
        <v>149</v>
      </c>
    </row>
    <row r="23" spans="1:30" ht="75" hidden="1" x14ac:dyDescent="0.25">
      <c r="A23" s="58"/>
      <c r="B23" s="58" t="s">
        <v>0</v>
      </c>
      <c r="C23" s="58">
        <v>3</v>
      </c>
      <c r="D23" s="2" t="s">
        <v>106</v>
      </c>
      <c r="E23" s="2" t="s">
        <v>107</v>
      </c>
      <c r="F23" s="2" t="s">
        <v>187</v>
      </c>
      <c r="G23" s="8" t="s">
        <v>507</v>
      </c>
      <c r="H23" s="8" t="s">
        <v>361</v>
      </c>
      <c r="I23" s="8" t="s">
        <v>147</v>
      </c>
      <c r="J23" s="2" t="s">
        <v>12</v>
      </c>
      <c r="K23" s="2">
        <v>2017</v>
      </c>
      <c r="L23" s="42">
        <v>0.64200000000000002</v>
      </c>
      <c r="M23" s="2"/>
      <c r="N23" s="2"/>
      <c r="O23" s="42"/>
      <c r="P23" s="42"/>
      <c r="Q23" s="42"/>
      <c r="R23" s="5"/>
      <c r="S23" s="83">
        <v>0.40200000000000002</v>
      </c>
      <c r="T23" s="73" t="s">
        <v>678</v>
      </c>
      <c r="U23" s="2" t="s">
        <v>398</v>
      </c>
      <c r="W23" t="s">
        <v>432</v>
      </c>
      <c r="X23" t="s">
        <v>432</v>
      </c>
      <c r="Y23" t="s">
        <v>432</v>
      </c>
      <c r="AA23" t="s">
        <v>492</v>
      </c>
      <c r="AC23" t="s">
        <v>492</v>
      </c>
      <c r="AD23" s="2" t="s">
        <v>149</v>
      </c>
    </row>
    <row r="24" spans="1:30" ht="75" hidden="1" x14ac:dyDescent="0.25">
      <c r="A24" s="58"/>
      <c r="B24" s="58" t="s">
        <v>0</v>
      </c>
      <c r="C24" s="58">
        <v>3</v>
      </c>
      <c r="D24" s="2" t="s">
        <v>106</v>
      </c>
      <c r="E24" s="2" t="s">
        <v>107</v>
      </c>
      <c r="F24" s="2" t="s">
        <v>187</v>
      </c>
      <c r="G24" s="8" t="s">
        <v>506</v>
      </c>
      <c r="H24" s="8" t="s">
        <v>362</v>
      </c>
      <c r="I24" s="8" t="s">
        <v>143</v>
      </c>
      <c r="J24" s="2" t="s">
        <v>12</v>
      </c>
      <c r="K24" s="2">
        <v>2017</v>
      </c>
      <c r="L24" s="42">
        <v>0.125</v>
      </c>
      <c r="M24" s="2"/>
      <c r="N24" s="2"/>
      <c r="O24" s="42"/>
      <c r="P24" s="42"/>
      <c r="Q24" s="42"/>
      <c r="R24" s="5"/>
      <c r="S24" s="83">
        <v>8.5999999999999993E-2</v>
      </c>
      <c r="T24" s="73" t="s">
        <v>679</v>
      </c>
      <c r="U24" s="2" t="s">
        <v>398</v>
      </c>
      <c r="W24" t="s">
        <v>432</v>
      </c>
      <c r="X24" t="s">
        <v>432</v>
      </c>
      <c r="Y24" t="s">
        <v>432</v>
      </c>
      <c r="AA24" t="s">
        <v>492</v>
      </c>
      <c r="AC24" t="s">
        <v>492</v>
      </c>
      <c r="AD24" s="2"/>
    </row>
    <row r="25" spans="1:30" ht="75" hidden="1" x14ac:dyDescent="0.25">
      <c r="A25" s="58"/>
      <c r="B25" s="58" t="s">
        <v>0</v>
      </c>
      <c r="C25" s="58">
        <v>3</v>
      </c>
      <c r="D25" s="2" t="s">
        <v>106</v>
      </c>
      <c r="E25" s="2" t="s">
        <v>107</v>
      </c>
      <c r="F25" s="2" t="s">
        <v>187</v>
      </c>
      <c r="G25" s="8" t="s">
        <v>505</v>
      </c>
      <c r="H25" s="8" t="s">
        <v>363</v>
      </c>
      <c r="I25" s="8" t="s">
        <v>113</v>
      </c>
      <c r="J25" s="2" t="s">
        <v>13</v>
      </c>
      <c r="K25" s="2">
        <v>2018</v>
      </c>
      <c r="L25" s="42">
        <v>0.16</v>
      </c>
      <c r="M25" s="2">
        <v>2019</v>
      </c>
      <c r="N25" s="42">
        <v>0.156</v>
      </c>
      <c r="O25" s="42"/>
      <c r="P25" s="42"/>
      <c r="Q25" s="42"/>
      <c r="R25" s="5"/>
      <c r="S25" s="5"/>
      <c r="T25" s="2"/>
      <c r="U25" s="2" t="s">
        <v>398</v>
      </c>
      <c r="W25" t="s">
        <v>432</v>
      </c>
      <c r="X25" t="s">
        <v>432</v>
      </c>
      <c r="Y25" t="s">
        <v>432</v>
      </c>
      <c r="AA25" t="s">
        <v>492</v>
      </c>
      <c r="AC25" t="s">
        <v>497</v>
      </c>
      <c r="AD25" s="2" t="s">
        <v>150</v>
      </c>
    </row>
    <row r="26" spans="1:30" ht="45" hidden="1" x14ac:dyDescent="0.25">
      <c r="A26" s="58"/>
      <c r="B26" s="58" t="s">
        <v>0</v>
      </c>
      <c r="C26" s="58">
        <v>3</v>
      </c>
      <c r="D26" s="2" t="s">
        <v>106</v>
      </c>
      <c r="E26" s="2" t="s">
        <v>108</v>
      </c>
      <c r="F26" s="2" t="s">
        <v>187</v>
      </c>
      <c r="G26" s="8" t="s">
        <v>504</v>
      </c>
      <c r="H26" s="8" t="s">
        <v>496</v>
      </c>
      <c r="I26" s="8" t="s">
        <v>113</v>
      </c>
      <c r="J26" s="2" t="s">
        <v>14</v>
      </c>
      <c r="K26" s="2">
        <v>2018</v>
      </c>
      <c r="L26" s="2">
        <v>826.3</v>
      </c>
      <c r="M26" s="2"/>
      <c r="N26" s="2"/>
      <c r="O26" s="42"/>
      <c r="P26" s="42"/>
      <c r="Q26" s="42"/>
      <c r="R26" s="5"/>
      <c r="S26" s="5"/>
      <c r="T26" s="2"/>
      <c r="U26" s="2" t="s">
        <v>398</v>
      </c>
      <c r="W26" t="s">
        <v>432</v>
      </c>
      <c r="X26" t="s">
        <v>432</v>
      </c>
      <c r="Y26" t="s">
        <v>432</v>
      </c>
      <c r="AA26" t="s">
        <v>492</v>
      </c>
      <c r="AC26" t="s">
        <v>492</v>
      </c>
      <c r="AD26" s="2" t="s">
        <v>150</v>
      </c>
    </row>
    <row r="27" spans="1:30" ht="75" hidden="1" x14ac:dyDescent="0.25">
      <c r="A27" s="58"/>
      <c r="B27" s="58" t="s">
        <v>0</v>
      </c>
      <c r="C27" s="58">
        <v>3</v>
      </c>
      <c r="D27" s="2" t="s">
        <v>106</v>
      </c>
      <c r="E27" s="2" t="s">
        <v>107</v>
      </c>
      <c r="F27" s="2" t="s">
        <v>187</v>
      </c>
      <c r="G27" s="8" t="s">
        <v>153</v>
      </c>
      <c r="H27" s="8" t="s">
        <v>153</v>
      </c>
      <c r="I27" s="8" t="s">
        <v>146</v>
      </c>
      <c r="J27" s="2" t="s">
        <v>151</v>
      </c>
      <c r="K27" s="2" t="s">
        <v>354</v>
      </c>
      <c r="L27" s="29">
        <v>0.92910000000000004</v>
      </c>
      <c r="M27" s="2" t="s">
        <v>606</v>
      </c>
      <c r="N27" s="29">
        <v>0.93269999999999997</v>
      </c>
      <c r="O27" s="42"/>
      <c r="P27" s="42"/>
      <c r="Q27" s="42"/>
      <c r="R27" s="5"/>
      <c r="S27" s="5"/>
      <c r="T27" s="2"/>
      <c r="U27" s="2" t="s">
        <v>398</v>
      </c>
      <c r="W27" t="s">
        <v>432</v>
      </c>
      <c r="X27" t="s">
        <v>149</v>
      </c>
      <c r="Y27" t="s">
        <v>149</v>
      </c>
      <c r="AA27" t="s">
        <v>492</v>
      </c>
      <c r="AC27" t="s">
        <v>494</v>
      </c>
      <c r="AD27" s="2" t="s">
        <v>149</v>
      </c>
    </row>
    <row r="28" spans="1:30" ht="75" hidden="1" x14ac:dyDescent="0.25">
      <c r="A28" s="58"/>
      <c r="B28" s="58" t="s">
        <v>0</v>
      </c>
      <c r="C28" s="58">
        <v>3</v>
      </c>
      <c r="D28" s="2" t="s">
        <v>106</v>
      </c>
      <c r="E28" s="2" t="s">
        <v>107</v>
      </c>
      <c r="F28" s="2" t="s">
        <v>187</v>
      </c>
      <c r="G28" s="8" t="s">
        <v>154</v>
      </c>
      <c r="H28" s="8" t="s">
        <v>154</v>
      </c>
      <c r="I28" s="8" t="s">
        <v>146</v>
      </c>
      <c r="J28" s="2" t="s">
        <v>151</v>
      </c>
      <c r="K28" s="2" t="s">
        <v>354</v>
      </c>
      <c r="L28" s="29">
        <v>1.0179</v>
      </c>
      <c r="M28" s="2" t="s">
        <v>606</v>
      </c>
      <c r="N28" s="29">
        <v>1.0190999999999999</v>
      </c>
      <c r="O28" s="42"/>
      <c r="P28" s="42"/>
      <c r="Q28" s="42"/>
      <c r="R28" s="5"/>
      <c r="S28" s="5"/>
      <c r="T28" s="2"/>
      <c r="U28" s="2" t="s">
        <v>398</v>
      </c>
      <c r="W28" t="s">
        <v>432</v>
      </c>
      <c r="X28" t="s">
        <v>149</v>
      </c>
      <c r="Y28" t="s">
        <v>149</v>
      </c>
      <c r="AA28" t="s">
        <v>492</v>
      </c>
      <c r="AC28" t="s">
        <v>494</v>
      </c>
      <c r="AD28" s="2" t="s">
        <v>149</v>
      </c>
    </row>
    <row r="29" spans="1:30" ht="75" hidden="1" x14ac:dyDescent="0.25">
      <c r="A29" s="58"/>
      <c r="B29" s="58" t="s">
        <v>0</v>
      </c>
      <c r="C29" s="58">
        <v>3</v>
      </c>
      <c r="D29" s="2" t="s">
        <v>106</v>
      </c>
      <c r="E29" s="2" t="s">
        <v>107</v>
      </c>
      <c r="F29" s="2" t="s">
        <v>187</v>
      </c>
      <c r="G29" s="8" t="s">
        <v>475</v>
      </c>
      <c r="H29" s="8" t="s">
        <v>155</v>
      </c>
      <c r="I29" s="8" t="s">
        <v>146</v>
      </c>
      <c r="J29" s="2" t="s">
        <v>151</v>
      </c>
      <c r="K29" s="2" t="s">
        <v>354</v>
      </c>
      <c r="L29" s="29">
        <v>0.80920000000000003</v>
      </c>
      <c r="M29" s="2" t="s">
        <v>606</v>
      </c>
      <c r="N29" s="29">
        <v>0.7923</v>
      </c>
      <c r="O29" s="42"/>
      <c r="P29" s="42"/>
      <c r="Q29" s="42"/>
      <c r="R29" s="5"/>
      <c r="S29" s="5"/>
      <c r="T29" s="2"/>
      <c r="U29" s="2" t="s">
        <v>398</v>
      </c>
      <c r="W29" t="s">
        <v>432</v>
      </c>
      <c r="X29" t="s">
        <v>149</v>
      </c>
      <c r="Y29" t="s">
        <v>149</v>
      </c>
      <c r="AA29" s="3" t="s">
        <v>494</v>
      </c>
      <c r="AC29" s="3" t="s">
        <v>494</v>
      </c>
      <c r="AD29" s="2" t="s">
        <v>149</v>
      </c>
    </row>
    <row r="30" spans="1:30" ht="75" hidden="1" x14ac:dyDescent="0.25">
      <c r="A30" s="58"/>
      <c r="B30" s="58" t="s">
        <v>0</v>
      </c>
      <c r="C30" s="58">
        <v>3</v>
      </c>
      <c r="D30" s="2" t="s">
        <v>106</v>
      </c>
      <c r="E30" s="2" t="s">
        <v>107</v>
      </c>
      <c r="F30" s="2" t="s">
        <v>187</v>
      </c>
      <c r="G30" s="8" t="s">
        <v>156</v>
      </c>
      <c r="H30" s="8" t="s">
        <v>156</v>
      </c>
      <c r="I30" s="8" t="s">
        <v>146</v>
      </c>
      <c r="J30" s="2" t="s">
        <v>151</v>
      </c>
      <c r="K30" s="2" t="s">
        <v>354</v>
      </c>
      <c r="L30" s="29">
        <v>0.85709999999999997</v>
      </c>
      <c r="M30" s="2" t="s">
        <v>606</v>
      </c>
      <c r="N30" s="29">
        <v>0.77049999999999996</v>
      </c>
      <c r="O30" s="42"/>
      <c r="P30" s="42"/>
      <c r="Q30" s="42"/>
      <c r="R30" s="5"/>
      <c r="S30" s="5"/>
      <c r="T30" s="2"/>
      <c r="U30" s="2" t="s">
        <v>398</v>
      </c>
      <c r="W30" t="s">
        <v>432</v>
      </c>
      <c r="X30" t="s">
        <v>149</v>
      </c>
      <c r="Y30" t="s">
        <v>149</v>
      </c>
      <c r="AA30" s="3" t="s">
        <v>494</v>
      </c>
      <c r="AC30" s="3" t="s">
        <v>497</v>
      </c>
      <c r="AD30" s="2" t="s">
        <v>149</v>
      </c>
    </row>
    <row r="31" spans="1:30" ht="105" hidden="1" x14ac:dyDescent="0.25">
      <c r="A31" s="58"/>
      <c r="B31" s="58" t="s">
        <v>0</v>
      </c>
      <c r="C31" s="58">
        <v>3</v>
      </c>
      <c r="D31" s="2" t="s">
        <v>106</v>
      </c>
      <c r="E31" s="2" t="s">
        <v>107</v>
      </c>
      <c r="F31" s="2" t="s">
        <v>187</v>
      </c>
      <c r="G31" s="8" t="s">
        <v>157</v>
      </c>
      <c r="H31" s="8" t="s">
        <v>467</v>
      </c>
      <c r="I31" s="8" t="s">
        <v>146</v>
      </c>
      <c r="J31" s="2" t="s">
        <v>469</v>
      </c>
      <c r="K31" s="2" t="s">
        <v>354</v>
      </c>
      <c r="L31" s="20"/>
      <c r="M31" s="2"/>
      <c r="N31" s="2"/>
      <c r="O31" s="42"/>
      <c r="P31" s="42"/>
      <c r="Q31" s="42"/>
      <c r="R31" s="5"/>
      <c r="S31" s="5" t="s">
        <v>428</v>
      </c>
      <c r="T31" s="70" t="s">
        <v>430</v>
      </c>
      <c r="U31" s="2" t="s">
        <v>398</v>
      </c>
      <c r="W31" s="3" t="s">
        <v>149</v>
      </c>
      <c r="X31" s="3" t="s">
        <v>149</v>
      </c>
      <c r="Y31" s="3" t="s">
        <v>149</v>
      </c>
      <c r="Z31" s="3" t="s">
        <v>432</v>
      </c>
      <c r="AA31" s="3" t="s">
        <v>494</v>
      </c>
      <c r="AB31" s="3"/>
      <c r="AC31" s="3" t="s">
        <v>494</v>
      </c>
      <c r="AD31" s="2" t="s">
        <v>149</v>
      </c>
    </row>
    <row r="32" spans="1:30" ht="75" hidden="1" x14ac:dyDescent="0.25">
      <c r="A32" s="58"/>
      <c r="B32" s="58" t="s">
        <v>0</v>
      </c>
      <c r="C32" s="58">
        <v>3</v>
      </c>
      <c r="D32" s="2" t="s">
        <v>106</v>
      </c>
      <c r="E32" s="2" t="s">
        <v>107</v>
      </c>
      <c r="F32" s="2" t="s">
        <v>187</v>
      </c>
      <c r="G32" s="8" t="s">
        <v>463</v>
      </c>
      <c r="H32" s="8" t="s">
        <v>468</v>
      </c>
      <c r="I32" s="8" t="s">
        <v>146</v>
      </c>
      <c r="J32" s="2" t="s">
        <v>464</v>
      </c>
      <c r="K32" s="2" t="s">
        <v>354</v>
      </c>
      <c r="L32" s="20"/>
      <c r="M32" s="2"/>
      <c r="N32" s="2"/>
      <c r="O32" s="42"/>
      <c r="P32" s="42"/>
      <c r="Q32" s="42"/>
      <c r="R32" s="5"/>
      <c r="S32" s="5"/>
      <c r="T32" s="2"/>
      <c r="U32" s="2" t="s">
        <v>398</v>
      </c>
      <c r="W32" s="3"/>
      <c r="X32" s="3"/>
      <c r="Y32" s="3"/>
      <c r="Z32" s="3"/>
      <c r="AA32" s="3" t="s">
        <v>494</v>
      </c>
      <c r="AB32" s="3"/>
      <c r="AC32" s="3" t="s">
        <v>494</v>
      </c>
      <c r="AD32" s="2" t="s">
        <v>149</v>
      </c>
    </row>
    <row r="33" spans="1:30" ht="75" x14ac:dyDescent="0.25">
      <c r="A33" s="58" t="s">
        <v>740</v>
      </c>
      <c r="B33" s="58" t="s">
        <v>0</v>
      </c>
      <c r="C33" s="58">
        <v>3</v>
      </c>
      <c r="D33" s="2" t="s">
        <v>106</v>
      </c>
      <c r="E33" s="2" t="s">
        <v>107</v>
      </c>
      <c r="F33" s="2" t="s">
        <v>187</v>
      </c>
      <c r="G33" s="8" t="s">
        <v>660</v>
      </c>
      <c r="H33" s="8" t="s">
        <v>656</v>
      </c>
      <c r="I33" s="8" t="s">
        <v>147</v>
      </c>
      <c r="J33" s="2" t="s">
        <v>24</v>
      </c>
      <c r="K33" s="2">
        <v>2018</v>
      </c>
      <c r="L33" s="45">
        <f xml:space="preserve"> 1 -14.9%</f>
        <v>0.85099999999999998</v>
      </c>
      <c r="M33" s="3"/>
      <c r="N33" s="3"/>
      <c r="O33" s="42">
        <f>(($S33-$L33)/21*6)+$L33</f>
        <v>0.86471428571428566</v>
      </c>
      <c r="P33" s="42">
        <f>(($S33-$L33)/21*10)+$L33</f>
        <v>0.87385714285714289</v>
      </c>
      <c r="Q33" s="42">
        <f>(($S33-$L33)/21*14)+$L33</f>
        <v>0.88300000000000001</v>
      </c>
      <c r="R33" s="75">
        <f>(($S33-$L33)/21*18)+$L33</f>
        <v>0.89214285714285713</v>
      </c>
      <c r="S33" s="75">
        <f xml:space="preserve"> 1 -10.1%</f>
        <v>0.89900000000000002</v>
      </c>
      <c r="T33" s="73" t="s">
        <v>639</v>
      </c>
      <c r="U33" s="2" t="s">
        <v>397</v>
      </c>
      <c r="V33" t="s">
        <v>599</v>
      </c>
      <c r="W33" t="s">
        <v>432</v>
      </c>
      <c r="X33" t="s">
        <v>432</v>
      </c>
      <c r="Y33" t="s">
        <v>432</v>
      </c>
      <c r="AA33" s="3" t="s">
        <v>494</v>
      </c>
      <c r="AC33" s="3" t="s">
        <v>494</v>
      </c>
      <c r="AD33" s="2" t="s">
        <v>149</v>
      </c>
    </row>
    <row r="34" spans="1:30" ht="75" hidden="1" x14ac:dyDescent="0.25">
      <c r="A34" s="58"/>
      <c r="B34" s="58" t="s">
        <v>0</v>
      </c>
      <c r="C34" s="58">
        <v>3</v>
      </c>
      <c r="D34" s="2" t="s">
        <v>106</v>
      </c>
      <c r="E34" s="2" t="s">
        <v>107</v>
      </c>
      <c r="F34" s="2" t="s">
        <v>187</v>
      </c>
      <c r="G34" s="8" t="s">
        <v>517</v>
      </c>
      <c r="H34" s="20" t="s">
        <v>516</v>
      </c>
      <c r="I34" s="8" t="s">
        <v>113</v>
      </c>
      <c r="J34" s="2" t="s">
        <v>15</v>
      </c>
      <c r="K34" s="2">
        <v>2018</v>
      </c>
      <c r="L34" s="2">
        <v>677</v>
      </c>
      <c r="M34" s="2">
        <v>2019</v>
      </c>
      <c r="N34" s="2">
        <v>628</v>
      </c>
      <c r="O34" s="42"/>
      <c r="P34" s="42"/>
      <c r="Q34" s="42"/>
      <c r="R34" s="5"/>
      <c r="S34" s="5"/>
      <c r="T34" s="2"/>
      <c r="U34" s="2" t="s">
        <v>398</v>
      </c>
      <c r="W34" t="s">
        <v>432</v>
      </c>
      <c r="AA34" s="3" t="s">
        <v>494</v>
      </c>
      <c r="AC34" s="3" t="s">
        <v>492</v>
      </c>
      <c r="AD34" s="2" t="s">
        <v>149</v>
      </c>
    </row>
    <row r="35" spans="1:30" ht="75" hidden="1" x14ac:dyDescent="0.25">
      <c r="A35" s="58"/>
      <c r="B35" s="58" t="s">
        <v>0</v>
      </c>
      <c r="C35" s="58">
        <v>3</v>
      </c>
      <c r="D35" s="2" t="s">
        <v>106</v>
      </c>
      <c r="E35" s="2" t="s">
        <v>107</v>
      </c>
      <c r="F35" s="2" t="s">
        <v>187</v>
      </c>
      <c r="G35" s="8" t="s">
        <v>424</v>
      </c>
      <c r="H35" s="8" t="s">
        <v>425</v>
      </c>
      <c r="I35" s="8"/>
      <c r="J35" s="2" t="s">
        <v>422</v>
      </c>
      <c r="K35" s="2"/>
      <c r="L35" s="2"/>
      <c r="M35" s="2"/>
      <c r="N35" s="2"/>
      <c r="O35" s="42"/>
      <c r="P35" s="42"/>
      <c r="Q35" s="42"/>
      <c r="R35" s="77"/>
      <c r="S35" s="77">
        <v>0.9</v>
      </c>
      <c r="T35" s="70" t="s">
        <v>490</v>
      </c>
      <c r="U35" s="2" t="s">
        <v>398</v>
      </c>
      <c r="W35" s="3"/>
      <c r="X35" s="3"/>
      <c r="Y35" s="3"/>
      <c r="Z35" s="3"/>
      <c r="AA35" s="3" t="s">
        <v>498</v>
      </c>
      <c r="AB35" s="3"/>
      <c r="AC35" s="3" t="s">
        <v>497</v>
      </c>
      <c r="AD35" s="2"/>
    </row>
    <row r="36" spans="1:30" ht="75" hidden="1" x14ac:dyDescent="0.25">
      <c r="A36" s="58"/>
      <c r="B36" s="58" t="s">
        <v>0</v>
      </c>
      <c r="C36" s="58">
        <v>3</v>
      </c>
      <c r="D36" s="2" t="s">
        <v>106</v>
      </c>
      <c r="E36" s="2" t="s">
        <v>107</v>
      </c>
      <c r="F36" s="2" t="s">
        <v>187</v>
      </c>
      <c r="G36" s="8" t="s">
        <v>423</v>
      </c>
      <c r="H36" s="8" t="s">
        <v>426</v>
      </c>
      <c r="I36" s="8"/>
      <c r="J36" s="2" t="s">
        <v>422</v>
      </c>
      <c r="K36" s="2"/>
      <c r="L36" s="2"/>
      <c r="M36" s="2"/>
      <c r="N36" s="2"/>
      <c r="O36" s="42"/>
      <c r="P36" s="42"/>
      <c r="Q36" s="42"/>
      <c r="R36" s="5"/>
      <c r="S36" s="5"/>
      <c r="T36" s="2"/>
      <c r="U36" s="2" t="s">
        <v>398</v>
      </c>
      <c r="W36" s="3"/>
      <c r="X36" s="3"/>
      <c r="Y36" s="3"/>
      <c r="Z36" s="3"/>
      <c r="AA36" s="3" t="s">
        <v>498</v>
      </c>
      <c r="AB36" s="3"/>
      <c r="AC36" s="3" t="s">
        <v>497</v>
      </c>
      <c r="AD36" s="2"/>
    </row>
    <row r="37" spans="1:30" ht="75" hidden="1" x14ac:dyDescent="0.25">
      <c r="A37" s="58"/>
      <c r="B37" s="58" t="s">
        <v>0</v>
      </c>
      <c r="C37" s="58">
        <v>3</v>
      </c>
      <c r="D37" s="2" t="s">
        <v>106</v>
      </c>
      <c r="E37" s="2" t="s">
        <v>107</v>
      </c>
      <c r="F37" s="2" t="s">
        <v>187</v>
      </c>
      <c r="G37" s="8" t="s">
        <v>476</v>
      </c>
      <c r="H37" s="8" t="s">
        <v>402</v>
      </c>
      <c r="I37" s="8"/>
      <c r="J37" s="2" t="s">
        <v>386</v>
      </c>
      <c r="K37" s="2">
        <v>2015</v>
      </c>
      <c r="L37" s="2">
        <v>7.8</v>
      </c>
      <c r="M37" s="2"/>
      <c r="N37" s="2"/>
      <c r="O37" s="42"/>
      <c r="P37" s="42"/>
      <c r="Q37" s="42"/>
      <c r="R37" s="5"/>
      <c r="S37" s="5"/>
      <c r="T37" s="2"/>
      <c r="U37" s="2" t="s">
        <v>398</v>
      </c>
      <c r="W37" t="s">
        <v>432</v>
      </c>
      <c r="X37" t="s">
        <v>432</v>
      </c>
      <c r="Y37" t="s">
        <v>432</v>
      </c>
      <c r="AA37" s="3" t="s">
        <v>494</v>
      </c>
      <c r="AC37" s="3" t="s">
        <v>492</v>
      </c>
      <c r="AD37" s="2" t="s">
        <v>149</v>
      </c>
    </row>
    <row r="38" spans="1:30" ht="60" hidden="1" x14ac:dyDescent="0.25">
      <c r="A38" s="58"/>
      <c r="B38" s="58" t="s">
        <v>0</v>
      </c>
      <c r="C38" s="58">
        <v>4</v>
      </c>
      <c r="D38" s="2" t="s">
        <v>109</v>
      </c>
      <c r="E38" s="2" t="s">
        <v>110</v>
      </c>
      <c r="F38" s="2" t="s">
        <v>582</v>
      </c>
      <c r="G38" s="8" t="s">
        <v>440</v>
      </c>
      <c r="H38" s="8" t="s">
        <v>542</v>
      </c>
      <c r="I38" s="8" t="s">
        <v>113</v>
      </c>
      <c r="J38" s="2" t="s">
        <v>159</v>
      </c>
      <c r="K38" s="2">
        <v>2018</v>
      </c>
      <c r="L38" s="2">
        <v>58</v>
      </c>
      <c r="M38" s="2">
        <v>2019</v>
      </c>
      <c r="N38" s="2">
        <v>49</v>
      </c>
      <c r="O38" s="42"/>
      <c r="P38" s="42"/>
      <c r="Q38" s="42"/>
      <c r="R38" s="5"/>
      <c r="S38" s="5"/>
      <c r="T38" s="2"/>
      <c r="U38" s="2" t="s">
        <v>398</v>
      </c>
      <c r="W38" t="s">
        <v>432</v>
      </c>
      <c r="X38" t="s">
        <v>432</v>
      </c>
      <c r="Z38" s="3"/>
      <c r="AA38" s="3" t="s">
        <v>492</v>
      </c>
      <c r="AC38" s="3" t="s">
        <v>494</v>
      </c>
      <c r="AD38" s="2" t="s">
        <v>149</v>
      </c>
    </row>
    <row r="39" spans="1:30" ht="45" hidden="1" x14ac:dyDescent="0.25">
      <c r="A39" s="58"/>
      <c r="B39" s="58" t="s">
        <v>0</v>
      </c>
      <c r="C39" s="58">
        <v>4</v>
      </c>
      <c r="D39" s="2" t="s">
        <v>109</v>
      </c>
      <c r="E39" s="2" t="s">
        <v>110</v>
      </c>
      <c r="F39" s="2" t="s">
        <v>582</v>
      </c>
      <c r="G39" s="8" t="s">
        <v>551</v>
      </c>
      <c r="H39" s="8" t="s">
        <v>387</v>
      </c>
      <c r="I39" s="8"/>
      <c r="J39" s="2" t="s">
        <v>680</v>
      </c>
      <c r="K39" s="2">
        <v>2014</v>
      </c>
      <c r="L39" s="42">
        <v>0.54600000000000004</v>
      </c>
      <c r="M39" s="2"/>
      <c r="N39" s="2"/>
      <c r="O39" s="42"/>
      <c r="P39" s="42"/>
      <c r="Q39" s="42"/>
      <c r="R39" s="5"/>
      <c r="S39" s="5"/>
      <c r="T39" s="2"/>
      <c r="U39" s="2" t="s">
        <v>398</v>
      </c>
      <c r="W39" t="s">
        <v>432</v>
      </c>
      <c r="X39" t="s">
        <v>432</v>
      </c>
      <c r="Y39" t="s">
        <v>432</v>
      </c>
      <c r="AA39" s="3" t="s">
        <v>494</v>
      </c>
      <c r="AC39" s="3" t="s">
        <v>492</v>
      </c>
      <c r="AD39" s="2" t="s">
        <v>149</v>
      </c>
    </row>
    <row r="40" spans="1:30" ht="45" hidden="1" x14ac:dyDescent="0.25">
      <c r="A40" s="58"/>
      <c r="B40" s="58" t="s">
        <v>0</v>
      </c>
      <c r="C40" s="58">
        <v>4</v>
      </c>
      <c r="D40" s="2" t="s">
        <v>109</v>
      </c>
      <c r="E40" s="2" t="s">
        <v>110</v>
      </c>
      <c r="F40" s="2" t="s">
        <v>582</v>
      </c>
      <c r="G40" s="8" t="s">
        <v>552</v>
      </c>
      <c r="H40" s="8" t="s">
        <v>460</v>
      </c>
      <c r="I40" s="8" t="s">
        <v>388</v>
      </c>
      <c r="J40" s="2" t="s">
        <v>389</v>
      </c>
      <c r="K40" s="2"/>
      <c r="L40" s="2"/>
      <c r="M40" s="2">
        <v>2019</v>
      </c>
      <c r="N40" s="2"/>
      <c r="O40" s="42"/>
      <c r="P40" s="42"/>
      <c r="Q40" s="42"/>
      <c r="R40" s="5"/>
      <c r="S40" s="5"/>
      <c r="T40" s="2"/>
      <c r="U40" s="2" t="s">
        <v>398</v>
      </c>
      <c r="W40" s="3"/>
      <c r="X40" s="3" t="s">
        <v>432</v>
      </c>
      <c r="Y40" s="3"/>
      <c r="Z40" s="3"/>
      <c r="AA40" s="3" t="s">
        <v>498</v>
      </c>
      <c r="AB40" s="3"/>
      <c r="AC40" s="3" t="s">
        <v>495</v>
      </c>
      <c r="AD40" s="2" t="s">
        <v>149</v>
      </c>
    </row>
    <row r="41" spans="1:30" ht="45" hidden="1" x14ac:dyDescent="0.25">
      <c r="A41" s="58"/>
      <c r="B41" s="58" t="s">
        <v>0</v>
      </c>
      <c r="C41" s="58">
        <v>4</v>
      </c>
      <c r="D41" s="2" t="s">
        <v>109</v>
      </c>
      <c r="E41" s="2" t="s">
        <v>110</v>
      </c>
      <c r="F41" s="2" t="s">
        <v>582</v>
      </c>
      <c r="G41" s="8" t="s">
        <v>553</v>
      </c>
      <c r="H41" s="8" t="s">
        <v>390</v>
      </c>
      <c r="I41" s="8" t="s">
        <v>388</v>
      </c>
      <c r="J41" s="2" t="s">
        <v>391</v>
      </c>
      <c r="K41" s="2">
        <v>2018</v>
      </c>
      <c r="L41" s="2"/>
      <c r="M41" s="2">
        <v>2019</v>
      </c>
      <c r="N41" s="2"/>
      <c r="O41" s="42"/>
      <c r="P41" s="42"/>
      <c r="Q41" s="42"/>
      <c r="R41" s="5"/>
      <c r="S41" s="5"/>
      <c r="T41" s="2"/>
      <c r="U41" s="2" t="s">
        <v>398</v>
      </c>
      <c r="V41" s="2"/>
      <c r="W41" s="3"/>
      <c r="X41" s="3" t="s">
        <v>432</v>
      </c>
      <c r="Y41" s="3"/>
      <c r="Z41" s="3"/>
      <c r="AA41" s="3" t="s">
        <v>498</v>
      </c>
      <c r="AB41" s="3"/>
      <c r="AC41" s="3" t="s">
        <v>495</v>
      </c>
      <c r="AD41" s="2" t="s">
        <v>149</v>
      </c>
    </row>
    <row r="42" spans="1:30" ht="45" hidden="1" x14ac:dyDescent="0.25">
      <c r="A42" s="58"/>
      <c r="B42" s="58" t="s">
        <v>0</v>
      </c>
      <c r="C42" s="58">
        <v>4</v>
      </c>
      <c r="D42" s="2" t="s">
        <v>109</v>
      </c>
      <c r="E42" s="2" t="s">
        <v>110</v>
      </c>
      <c r="F42" s="2" t="s">
        <v>582</v>
      </c>
      <c r="G42" s="8" t="s">
        <v>554</v>
      </c>
      <c r="H42" s="8" t="s">
        <v>392</v>
      </c>
      <c r="I42" s="8" t="s">
        <v>388</v>
      </c>
      <c r="J42" s="2" t="s">
        <v>393</v>
      </c>
      <c r="K42" s="2">
        <v>2018</v>
      </c>
      <c r="L42" s="31">
        <v>475940</v>
      </c>
      <c r="M42" s="2">
        <v>2019</v>
      </c>
      <c r="N42" s="31">
        <v>529094</v>
      </c>
      <c r="O42" s="42"/>
      <c r="P42" s="42"/>
      <c r="Q42" s="42"/>
      <c r="R42" s="5"/>
      <c r="S42" s="5"/>
      <c r="T42" s="2"/>
      <c r="U42" s="2" t="s">
        <v>398</v>
      </c>
      <c r="W42" t="s">
        <v>432</v>
      </c>
      <c r="X42" t="s">
        <v>432</v>
      </c>
      <c r="Y42" t="s">
        <v>432</v>
      </c>
      <c r="AA42" s="3" t="s">
        <v>498</v>
      </c>
      <c r="AB42" s="3"/>
      <c r="AC42" s="3" t="s">
        <v>495</v>
      </c>
      <c r="AD42" s="2" t="s">
        <v>149</v>
      </c>
    </row>
    <row r="43" spans="1:30" ht="45" hidden="1" x14ac:dyDescent="0.25">
      <c r="A43" s="58"/>
      <c r="B43" s="58" t="s">
        <v>0</v>
      </c>
      <c r="C43" s="58">
        <v>4</v>
      </c>
      <c r="D43" s="2" t="s">
        <v>109</v>
      </c>
      <c r="E43" s="2" t="s">
        <v>110</v>
      </c>
      <c r="F43" s="2" t="s">
        <v>582</v>
      </c>
      <c r="G43" s="8" t="s">
        <v>519</v>
      </c>
      <c r="H43" s="8" t="s">
        <v>518</v>
      </c>
      <c r="I43" s="8" t="s">
        <v>147</v>
      </c>
      <c r="J43" s="2" t="s">
        <v>13</v>
      </c>
      <c r="K43" s="2">
        <v>2018</v>
      </c>
      <c r="L43" s="28">
        <v>0.38</v>
      </c>
      <c r="M43" s="2">
        <v>2019</v>
      </c>
      <c r="N43" s="29">
        <v>0.33500000000000002</v>
      </c>
      <c r="O43" s="42"/>
      <c r="P43" s="42"/>
      <c r="Q43" s="42"/>
      <c r="R43" s="5"/>
      <c r="S43" s="5"/>
      <c r="T43" s="2"/>
      <c r="U43" s="2" t="s">
        <v>398</v>
      </c>
      <c r="W43" t="s">
        <v>432</v>
      </c>
      <c r="X43" t="s">
        <v>432</v>
      </c>
      <c r="Y43" t="s">
        <v>432</v>
      </c>
      <c r="AA43" s="3" t="s">
        <v>494</v>
      </c>
      <c r="AC43" s="3" t="s">
        <v>492</v>
      </c>
      <c r="AD43" s="2"/>
    </row>
    <row r="44" spans="1:30" ht="45" x14ac:dyDescent="0.25">
      <c r="A44" s="58" t="s">
        <v>696</v>
      </c>
      <c r="B44" s="58" t="s">
        <v>0</v>
      </c>
      <c r="C44" s="58">
        <v>4</v>
      </c>
      <c r="D44" s="2" t="s">
        <v>109</v>
      </c>
      <c r="E44" s="2" t="s">
        <v>110</v>
      </c>
      <c r="F44" s="2" t="s">
        <v>582</v>
      </c>
      <c r="G44" s="8" t="s">
        <v>661</v>
      </c>
      <c r="H44" s="8" t="s">
        <v>543</v>
      </c>
      <c r="I44" s="8" t="s">
        <v>147</v>
      </c>
      <c r="J44" s="2" t="s">
        <v>399</v>
      </c>
      <c r="K44" s="2">
        <v>2018</v>
      </c>
      <c r="L44" s="2">
        <v>52</v>
      </c>
      <c r="M44" s="2">
        <v>2019</v>
      </c>
      <c r="N44" s="2">
        <v>49</v>
      </c>
      <c r="O44" s="68">
        <f>(($S44-$L44)/21*6)+$L44</f>
        <v>55.142857142857146</v>
      </c>
      <c r="P44" s="68">
        <f>(($S44-$L44)/21*10)+$L44</f>
        <v>57.238095238095241</v>
      </c>
      <c r="Q44" s="68">
        <f>(($S44-$L44)/21*14)+$L44</f>
        <v>59.333333333333336</v>
      </c>
      <c r="R44" s="79">
        <f>(($S44-$L44)/21*18)+$L44</f>
        <v>61.428571428571431</v>
      </c>
      <c r="S44" s="79">
        <v>63</v>
      </c>
      <c r="T44" s="73" t="s">
        <v>626</v>
      </c>
      <c r="U44" s="2" t="s">
        <v>397</v>
      </c>
      <c r="V44" t="s">
        <v>599</v>
      </c>
      <c r="W44" t="s">
        <v>432</v>
      </c>
      <c r="X44" t="s">
        <v>432</v>
      </c>
      <c r="AA44" s="3" t="s">
        <v>494</v>
      </c>
      <c r="AC44" s="3" t="s">
        <v>494</v>
      </c>
      <c r="AD44" s="2" t="s">
        <v>150</v>
      </c>
    </row>
    <row r="45" spans="1:30" ht="30" hidden="1" x14ac:dyDescent="0.25">
      <c r="A45" s="58"/>
      <c r="B45" s="58" t="s">
        <v>0</v>
      </c>
      <c r="C45" s="58">
        <v>5</v>
      </c>
      <c r="D45" s="2" t="s">
        <v>111</v>
      </c>
      <c r="E45" s="2" t="s">
        <v>112</v>
      </c>
      <c r="F45" s="2" t="s">
        <v>204</v>
      </c>
      <c r="G45" s="8" t="s">
        <v>522</v>
      </c>
      <c r="H45" s="8" t="s">
        <v>367</v>
      </c>
      <c r="I45" s="8" t="s">
        <v>143</v>
      </c>
      <c r="J45" s="2" t="s">
        <v>28</v>
      </c>
      <c r="K45" s="2">
        <v>2016</v>
      </c>
      <c r="L45" s="42">
        <v>0.109</v>
      </c>
      <c r="M45" s="2"/>
      <c r="N45" s="2"/>
      <c r="O45" s="42"/>
      <c r="P45" s="42"/>
      <c r="Q45" s="42"/>
      <c r="R45" s="5"/>
      <c r="S45" s="5"/>
      <c r="T45" s="2"/>
      <c r="U45" s="2" t="s">
        <v>398</v>
      </c>
      <c r="W45" t="s">
        <v>432</v>
      </c>
      <c r="X45" t="s">
        <v>432</v>
      </c>
      <c r="Y45" t="s">
        <v>432</v>
      </c>
      <c r="AA45" s="3" t="s">
        <v>494</v>
      </c>
      <c r="AC45" s="3" t="s">
        <v>492</v>
      </c>
      <c r="AD45" s="2"/>
    </row>
    <row r="46" spans="1:30" ht="30" hidden="1" x14ac:dyDescent="0.25">
      <c r="A46" s="58"/>
      <c r="B46" s="58" t="s">
        <v>0</v>
      </c>
      <c r="C46" s="58">
        <v>5</v>
      </c>
      <c r="D46" s="2" t="s">
        <v>111</v>
      </c>
      <c r="E46" s="2" t="s">
        <v>112</v>
      </c>
      <c r="F46" s="2" t="s">
        <v>204</v>
      </c>
      <c r="G46" s="8" t="s">
        <v>458</v>
      </c>
      <c r="H46" s="8" t="s">
        <v>459</v>
      </c>
      <c r="I46" s="8" t="s">
        <v>143</v>
      </c>
      <c r="J46" s="2"/>
      <c r="K46" s="2"/>
      <c r="L46" s="2"/>
      <c r="M46" s="2"/>
      <c r="N46" s="2"/>
      <c r="O46" s="42"/>
      <c r="P46" s="42"/>
      <c r="Q46" s="42"/>
      <c r="R46" s="5"/>
      <c r="S46" s="5"/>
      <c r="T46" s="2"/>
      <c r="U46" s="2" t="s">
        <v>398</v>
      </c>
      <c r="W46" s="3"/>
      <c r="X46" s="3" t="s">
        <v>432</v>
      </c>
      <c r="Y46" s="3"/>
      <c r="Z46" s="3"/>
      <c r="AA46" s="3" t="s">
        <v>492</v>
      </c>
      <c r="AB46" s="3"/>
      <c r="AC46" s="3" t="s">
        <v>495</v>
      </c>
      <c r="AD46" s="2"/>
    </row>
    <row r="47" spans="1:30" ht="60" hidden="1" x14ac:dyDescent="0.25">
      <c r="A47" s="58"/>
      <c r="B47" s="58" t="s">
        <v>0</v>
      </c>
      <c r="C47" s="58">
        <v>5</v>
      </c>
      <c r="D47" s="2" t="s">
        <v>111</v>
      </c>
      <c r="E47" s="2" t="s">
        <v>112</v>
      </c>
      <c r="F47" s="2" t="s">
        <v>204</v>
      </c>
      <c r="G47" s="8" t="s">
        <v>441</v>
      </c>
      <c r="H47" s="20" t="s">
        <v>144</v>
      </c>
      <c r="I47" s="8" t="s">
        <v>143</v>
      </c>
      <c r="J47" s="2" t="s">
        <v>11</v>
      </c>
      <c r="K47" s="2"/>
      <c r="L47" s="2"/>
      <c r="M47" s="2"/>
      <c r="N47" s="2"/>
      <c r="O47" s="42"/>
      <c r="P47" s="42"/>
      <c r="Q47" s="42"/>
      <c r="R47" s="5"/>
      <c r="S47" s="5"/>
      <c r="T47" s="2"/>
      <c r="U47" s="2" t="s">
        <v>351</v>
      </c>
      <c r="W47" s="3"/>
      <c r="X47" s="3" t="s">
        <v>432</v>
      </c>
      <c r="Y47" s="3"/>
      <c r="Z47" s="3"/>
      <c r="AA47" s="3" t="s">
        <v>492</v>
      </c>
      <c r="AB47" s="3"/>
      <c r="AC47" s="3" t="s">
        <v>495</v>
      </c>
      <c r="AD47" s="2"/>
    </row>
    <row r="48" spans="1:30" ht="45" hidden="1" x14ac:dyDescent="0.25">
      <c r="A48" s="58"/>
      <c r="B48" s="58" t="s">
        <v>0</v>
      </c>
      <c r="C48" s="58">
        <v>5</v>
      </c>
      <c r="D48" s="2" t="s">
        <v>111</v>
      </c>
      <c r="E48" s="2" t="s">
        <v>112</v>
      </c>
      <c r="F48" s="2" t="s">
        <v>204</v>
      </c>
      <c r="G48" s="8" t="s">
        <v>521</v>
      </c>
      <c r="H48" s="8" t="s">
        <v>366</v>
      </c>
      <c r="I48" s="8" t="s">
        <v>143</v>
      </c>
      <c r="J48" s="2" t="s">
        <v>365</v>
      </c>
      <c r="K48" s="2">
        <v>2016</v>
      </c>
      <c r="L48" s="2">
        <v>403</v>
      </c>
      <c r="M48" s="2"/>
      <c r="N48" s="2"/>
      <c r="O48" s="42"/>
      <c r="P48" s="42"/>
      <c r="Q48" s="42"/>
      <c r="R48" s="5"/>
      <c r="S48" s="5"/>
      <c r="T48" s="2"/>
      <c r="U48" s="2" t="s">
        <v>398</v>
      </c>
      <c r="W48" t="s">
        <v>432</v>
      </c>
      <c r="X48" t="s">
        <v>432</v>
      </c>
      <c r="Y48" t="s">
        <v>432</v>
      </c>
      <c r="AA48" s="3" t="s">
        <v>492</v>
      </c>
      <c r="AC48" s="3" t="s">
        <v>495</v>
      </c>
      <c r="AD48" s="2" t="s">
        <v>149</v>
      </c>
    </row>
    <row r="49" spans="1:30" ht="30" x14ac:dyDescent="0.25">
      <c r="A49" s="58" t="s">
        <v>697</v>
      </c>
      <c r="B49" s="58" t="s">
        <v>0</v>
      </c>
      <c r="C49" s="58">
        <v>5</v>
      </c>
      <c r="D49" s="2" t="s">
        <v>111</v>
      </c>
      <c r="E49" s="2" t="s">
        <v>112</v>
      </c>
      <c r="F49" s="2" t="s">
        <v>204</v>
      </c>
      <c r="G49" s="8" t="s">
        <v>520</v>
      </c>
      <c r="H49" s="8" t="s">
        <v>642</v>
      </c>
      <c r="I49" s="8" t="s">
        <v>113</v>
      </c>
      <c r="J49" s="2" t="s">
        <v>685</v>
      </c>
      <c r="K49" s="2">
        <v>2016</v>
      </c>
      <c r="L49" s="42">
        <v>0.159</v>
      </c>
      <c r="M49" s="2"/>
      <c r="N49" s="2"/>
      <c r="O49" s="42">
        <f>(($S49-$L49)/21*6)+$L49</f>
        <v>0.15672857142857144</v>
      </c>
      <c r="P49" s="42">
        <f>(($S49-$L49)/21*10)+$L49</f>
        <v>0.15521428571428572</v>
      </c>
      <c r="Q49" s="42">
        <f>(($S49-$L49)/21*14)+$L49</f>
        <v>0.1537</v>
      </c>
      <c r="R49" s="78">
        <f>(($S49-$L49)/21*18)+$L49</f>
        <v>0.15218571428571429</v>
      </c>
      <c r="S49" s="78">
        <f>L49*0.95</f>
        <v>0.15104999999999999</v>
      </c>
      <c r="T49" s="65" t="s">
        <v>603</v>
      </c>
      <c r="U49" s="2" t="s">
        <v>397</v>
      </c>
      <c r="V49" t="s">
        <v>649</v>
      </c>
      <c r="W49" t="s">
        <v>432</v>
      </c>
      <c r="X49" t="s">
        <v>432</v>
      </c>
      <c r="Y49" t="s">
        <v>432</v>
      </c>
      <c r="AA49" s="3" t="s">
        <v>494</v>
      </c>
      <c r="AC49" s="3"/>
      <c r="AD49" s="2"/>
    </row>
    <row r="50" spans="1:30" ht="30" hidden="1" x14ac:dyDescent="0.25">
      <c r="A50" s="58"/>
      <c r="B50" s="58" t="s">
        <v>0</v>
      </c>
      <c r="C50" s="58">
        <v>5</v>
      </c>
      <c r="D50" s="2" t="s">
        <v>111</v>
      </c>
      <c r="E50" s="2" t="s">
        <v>112</v>
      </c>
      <c r="F50" s="2" t="s">
        <v>204</v>
      </c>
      <c r="G50" s="8" t="s">
        <v>442</v>
      </c>
      <c r="H50" s="8" t="s">
        <v>364</v>
      </c>
      <c r="I50" s="8" t="s">
        <v>113</v>
      </c>
      <c r="J50" s="2" t="s">
        <v>28</v>
      </c>
      <c r="K50" s="3">
        <v>2016</v>
      </c>
      <c r="L50" s="42">
        <v>0.41699999999999998</v>
      </c>
      <c r="M50" s="2"/>
      <c r="N50" s="2"/>
      <c r="O50" s="42"/>
      <c r="P50" s="42"/>
      <c r="Q50" s="42"/>
      <c r="R50" s="5"/>
      <c r="S50" s="5"/>
      <c r="T50" s="2"/>
      <c r="U50" s="2" t="s">
        <v>398</v>
      </c>
      <c r="W50" t="s">
        <v>432</v>
      </c>
      <c r="X50" t="s">
        <v>432</v>
      </c>
      <c r="Y50" t="s">
        <v>432</v>
      </c>
      <c r="AA50" s="3" t="s">
        <v>494</v>
      </c>
      <c r="AC50" s="3" t="s">
        <v>495</v>
      </c>
      <c r="AD50" s="2" t="s">
        <v>149</v>
      </c>
    </row>
    <row r="51" spans="1:30" ht="60" hidden="1" x14ac:dyDescent="0.25">
      <c r="A51" s="59"/>
      <c r="B51" s="59" t="s">
        <v>4</v>
      </c>
      <c r="C51" s="59">
        <v>6</v>
      </c>
      <c r="D51" s="5" t="s">
        <v>115</v>
      </c>
      <c r="E51" s="2" t="s">
        <v>116</v>
      </c>
      <c r="F51" s="2" t="s">
        <v>573</v>
      </c>
      <c r="G51" s="8" t="s">
        <v>523</v>
      </c>
      <c r="H51" s="8" t="s">
        <v>372</v>
      </c>
      <c r="I51" s="8" t="s">
        <v>143</v>
      </c>
      <c r="J51" s="2" t="s">
        <v>28</v>
      </c>
      <c r="K51" s="2">
        <v>2016</v>
      </c>
      <c r="L51" s="42">
        <v>0.63100000000000001</v>
      </c>
      <c r="M51" s="2"/>
      <c r="N51" s="29"/>
      <c r="O51" s="42"/>
      <c r="P51" s="42"/>
      <c r="Q51" s="42"/>
      <c r="R51" s="5"/>
      <c r="S51" s="5"/>
      <c r="T51" s="2"/>
      <c r="U51" s="2" t="s">
        <v>398</v>
      </c>
      <c r="W51" t="s">
        <v>432</v>
      </c>
      <c r="X51" t="s">
        <v>432</v>
      </c>
      <c r="Y51" t="s">
        <v>432</v>
      </c>
      <c r="AA51" s="3" t="s">
        <v>494</v>
      </c>
      <c r="AC51" s="3" t="s">
        <v>494</v>
      </c>
      <c r="AD51" s="2" t="s">
        <v>150</v>
      </c>
    </row>
    <row r="52" spans="1:30" ht="60" x14ac:dyDescent="0.25">
      <c r="A52" s="59" t="s">
        <v>699</v>
      </c>
      <c r="B52" s="59" t="s">
        <v>4</v>
      </c>
      <c r="C52" s="59">
        <v>6</v>
      </c>
      <c r="D52" s="5" t="s">
        <v>115</v>
      </c>
      <c r="E52" s="2" t="s">
        <v>116</v>
      </c>
      <c r="F52" s="2" t="s">
        <v>573</v>
      </c>
      <c r="G52" s="8" t="s">
        <v>524</v>
      </c>
      <c r="H52" s="8" t="s">
        <v>371</v>
      </c>
      <c r="I52" s="8" t="s">
        <v>160</v>
      </c>
      <c r="J52" s="2" t="s">
        <v>627</v>
      </c>
      <c r="K52" s="2">
        <v>2018</v>
      </c>
      <c r="L52" s="42">
        <v>4.8000000000000001E-2</v>
      </c>
      <c r="M52" s="2"/>
      <c r="N52" s="2"/>
      <c r="O52" s="42">
        <f>(($S52-$L52)/21*6)+$L52</f>
        <v>4.0285714285714286E-2</v>
      </c>
      <c r="P52" s="42">
        <f>(($S52-$L52)/21*10)+$L52</f>
        <v>3.5142857142857142E-2</v>
      </c>
      <c r="Q52" s="42">
        <f>(($S52-$L52)/21*14)+$L52</f>
        <v>3.0000000000000002E-2</v>
      </c>
      <c r="R52" s="78">
        <f>(($S52-$L52)/21*18)+$L52</f>
        <v>2.4857142857142859E-2</v>
      </c>
      <c r="S52" s="78">
        <v>2.1000000000000001E-2</v>
      </c>
      <c r="T52" s="73" t="s">
        <v>628</v>
      </c>
      <c r="U52" s="2" t="s">
        <v>397</v>
      </c>
      <c r="V52" t="s">
        <v>649</v>
      </c>
      <c r="W52" t="s">
        <v>432</v>
      </c>
      <c r="X52" t="s">
        <v>432</v>
      </c>
      <c r="Y52" t="s">
        <v>432</v>
      </c>
      <c r="AA52" s="3" t="s">
        <v>494</v>
      </c>
      <c r="AC52" s="3" t="s">
        <v>494</v>
      </c>
      <c r="AD52" s="2" t="s">
        <v>149</v>
      </c>
    </row>
    <row r="53" spans="1:30" ht="60" hidden="1" x14ac:dyDescent="0.25">
      <c r="A53" s="59"/>
      <c r="B53" s="59" t="s">
        <v>4</v>
      </c>
      <c r="C53" s="59">
        <v>6</v>
      </c>
      <c r="D53" s="5" t="s">
        <v>115</v>
      </c>
      <c r="E53" s="2" t="s">
        <v>116</v>
      </c>
      <c r="F53" s="2" t="s">
        <v>573</v>
      </c>
      <c r="G53" s="8" t="s">
        <v>484</v>
      </c>
      <c r="H53" s="8" t="s">
        <v>647</v>
      </c>
      <c r="I53" s="8" t="s">
        <v>143</v>
      </c>
      <c r="J53" s="2" t="s">
        <v>28</v>
      </c>
      <c r="K53" s="2">
        <v>2016</v>
      </c>
      <c r="L53" s="42">
        <v>0.61099999999999999</v>
      </c>
      <c r="M53" s="2"/>
      <c r="N53" s="2"/>
      <c r="O53" s="42"/>
      <c r="P53" s="42"/>
      <c r="Q53" s="42"/>
      <c r="R53" s="5"/>
      <c r="S53" s="5"/>
      <c r="T53" s="2"/>
      <c r="U53" s="2" t="s">
        <v>398</v>
      </c>
      <c r="W53" t="s">
        <v>432</v>
      </c>
      <c r="X53" t="s">
        <v>432</v>
      </c>
      <c r="Y53" t="s">
        <v>432</v>
      </c>
      <c r="AA53" s="3" t="s">
        <v>492</v>
      </c>
      <c r="AC53" s="3" t="s">
        <v>495</v>
      </c>
      <c r="AD53" s="2"/>
    </row>
    <row r="54" spans="1:30" ht="60" hidden="1" x14ac:dyDescent="0.25">
      <c r="A54" s="59"/>
      <c r="B54" s="59" t="s">
        <v>4</v>
      </c>
      <c r="C54" s="59">
        <v>6</v>
      </c>
      <c r="D54" s="5" t="s">
        <v>115</v>
      </c>
      <c r="E54" s="2" t="s">
        <v>116</v>
      </c>
      <c r="F54" s="2" t="s">
        <v>573</v>
      </c>
      <c r="G54" s="8" t="s">
        <v>485</v>
      </c>
      <c r="H54" s="8" t="s">
        <v>394</v>
      </c>
      <c r="I54" s="8" t="s">
        <v>143</v>
      </c>
      <c r="J54" s="2" t="s">
        <v>28</v>
      </c>
      <c r="K54" s="2">
        <v>2016</v>
      </c>
      <c r="L54" s="42">
        <v>0.311</v>
      </c>
      <c r="M54" s="2"/>
      <c r="N54" s="2"/>
      <c r="O54" s="42"/>
      <c r="P54" s="42"/>
      <c r="Q54" s="42"/>
      <c r="R54" s="5"/>
      <c r="S54" s="5"/>
      <c r="T54" s="2"/>
      <c r="U54" s="2" t="s">
        <v>398</v>
      </c>
      <c r="W54" t="s">
        <v>432</v>
      </c>
      <c r="X54" t="s">
        <v>432</v>
      </c>
      <c r="Y54" t="s">
        <v>432</v>
      </c>
      <c r="AA54" s="3" t="s">
        <v>492</v>
      </c>
      <c r="AC54" s="3" t="s">
        <v>495</v>
      </c>
      <c r="AD54" s="2"/>
    </row>
    <row r="55" spans="1:30" ht="60" x14ac:dyDescent="0.25">
      <c r="A55" s="59" t="s">
        <v>700</v>
      </c>
      <c r="B55" s="59" t="s">
        <v>4</v>
      </c>
      <c r="C55" s="59">
        <v>6</v>
      </c>
      <c r="D55" s="5" t="s">
        <v>115</v>
      </c>
      <c r="E55" s="2" t="s">
        <v>116</v>
      </c>
      <c r="F55" s="2" t="s">
        <v>573</v>
      </c>
      <c r="G55" s="8" t="s">
        <v>525</v>
      </c>
      <c r="H55" s="8" t="s">
        <v>368</v>
      </c>
      <c r="I55" s="8" t="s">
        <v>113</v>
      </c>
      <c r="J55" s="2" t="s">
        <v>685</v>
      </c>
      <c r="K55" s="2">
        <v>2016</v>
      </c>
      <c r="L55" s="42">
        <v>0.17199999999999999</v>
      </c>
      <c r="M55" s="2"/>
      <c r="N55" s="28"/>
      <c r="O55" s="42">
        <f>(($S55-$L55)/21*6)+$L55</f>
        <v>0.18428571428571427</v>
      </c>
      <c r="P55" s="42">
        <f>(($S55-$L55)/21*10)+$L55</f>
        <v>0.19247619047619047</v>
      </c>
      <c r="Q55" s="42">
        <f>(($S55-$L55)/21*14)+$L55</f>
        <v>0.20066666666666666</v>
      </c>
      <c r="R55" s="75">
        <f>(($S55-$L55)/21*18)+$L55</f>
        <v>0.20885714285714285</v>
      </c>
      <c r="S55" s="75">
        <v>0.215</v>
      </c>
      <c r="T55" s="73" t="s">
        <v>629</v>
      </c>
      <c r="U55" s="2" t="s">
        <v>397</v>
      </c>
      <c r="V55" t="s">
        <v>599</v>
      </c>
      <c r="W55" t="s">
        <v>432</v>
      </c>
      <c r="X55" t="s">
        <v>432</v>
      </c>
      <c r="Y55" t="s">
        <v>432</v>
      </c>
      <c r="AA55" s="3" t="s">
        <v>494</v>
      </c>
      <c r="AC55" s="3" t="s">
        <v>494</v>
      </c>
      <c r="AD55" s="2" t="s">
        <v>149</v>
      </c>
    </row>
    <row r="56" spans="1:30" ht="60" hidden="1" x14ac:dyDescent="0.25">
      <c r="A56" s="59"/>
      <c r="B56" s="59" t="s">
        <v>4</v>
      </c>
      <c r="C56" s="59">
        <v>6</v>
      </c>
      <c r="D56" s="5" t="s">
        <v>115</v>
      </c>
      <c r="E56" s="2" t="s">
        <v>116</v>
      </c>
      <c r="F56" s="2" t="s">
        <v>573</v>
      </c>
      <c r="G56" s="8" t="s">
        <v>525</v>
      </c>
      <c r="H56" s="8" t="s">
        <v>431</v>
      </c>
      <c r="I56" s="8" t="s">
        <v>113</v>
      </c>
      <c r="J56" s="2" t="s">
        <v>13</v>
      </c>
      <c r="K56" s="2">
        <v>2018</v>
      </c>
      <c r="L56" s="42">
        <v>0.28000000000000003</v>
      </c>
      <c r="M56" s="2">
        <v>2019</v>
      </c>
      <c r="N56" s="28">
        <v>0.39</v>
      </c>
      <c r="O56" s="42"/>
      <c r="P56" s="42"/>
      <c r="Q56" s="42"/>
      <c r="R56" s="5"/>
      <c r="S56" s="5"/>
      <c r="T56" s="2"/>
      <c r="U56" s="2" t="s">
        <v>398</v>
      </c>
      <c r="W56" t="s">
        <v>432</v>
      </c>
      <c r="X56" t="s">
        <v>432</v>
      </c>
      <c r="Y56" t="s">
        <v>455</v>
      </c>
      <c r="AA56" s="3" t="s">
        <v>494</v>
      </c>
      <c r="AC56" s="3" t="s">
        <v>498</v>
      </c>
      <c r="AD56" s="2" t="s">
        <v>149</v>
      </c>
    </row>
    <row r="57" spans="1:30" ht="60" hidden="1" x14ac:dyDescent="0.25">
      <c r="A57" s="59"/>
      <c r="B57" s="59" t="s">
        <v>4</v>
      </c>
      <c r="C57" s="59">
        <v>6</v>
      </c>
      <c r="D57" s="5" t="s">
        <v>115</v>
      </c>
      <c r="E57" s="2" t="s">
        <v>116</v>
      </c>
      <c r="F57" s="2" t="s">
        <v>573</v>
      </c>
      <c r="G57" s="8" t="s">
        <v>161</v>
      </c>
      <c r="H57" s="8" t="s">
        <v>370</v>
      </c>
      <c r="I57" s="8" t="s">
        <v>146</v>
      </c>
      <c r="J57" s="5" t="s">
        <v>151</v>
      </c>
      <c r="K57" s="41" t="s">
        <v>354</v>
      </c>
      <c r="L57" s="46">
        <v>5</v>
      </c>
      <c r="M57" s="2" t="s">
        <v>606</v>
      </c>
      <c r="N57" s="2">
        <v>4.99</v>
      </c>
      <c r="O57" s="42"/>
      <c r="P57" s="42"/>
      <c r="Q57" s="42"/>
      <c r="R57" s="5"/>
      <c r="S57" s="5"/>
      <c r="T57" s="2"/>
      <c r="U57" s="2" t="s">
        <v>398</v>
      </c>
      <c r="W57" t="s">
        <v>432</v>
      </c>
      <c r="X57" t="s">
        <v>432</v>
      </c>
      <c r="Y57" t="s">
        <v>432</v>
      </c>
      <c r="AA57" s="3" t="s">
        <v>494</v>
      </c>
      <c r="AC57" s="3" t="s">
        <v>498</v>
      </c>
      <c r="AD57" s="2" t="s">
        <v>149</v>
      </c>
    </row>
    <row r="58" spans="1:30" ht="60" x14ac:dyDescent="0.25">
      <c r="A58" s="59" t="s">
        <v>701</v>
      </c>
      <c r="B58" s="59" t="s">
        <v>4</v>
      </c>
      <c r="C58" s="59">
        <v>6</v>
      </c>
      <c r="D58" s="5" t="s">
        <v>115</v>
      </c>
      <c r="E58" s="2" t="s">
        <v>116</v>
      </c>
      <c r="F58" s="2" t="s">
        <v>573</v>
      </c>
      <c r="G58" s="8" t="s">
        <v>526</v>
      </c>
      <c r="H58" s="8" t="s">
        <v>587</v>
      </c>
      <c r="I58" s="8" t="s">
        <v>623</v>
      </c>
      <c r="J58" s="5" t="s">
        <v>686</v>
      </c>
      <c r="K58" s="2">
        <v>2017</v>
      </c>
      <c r="L58" s="42">
        <v>0.91600000000000004</v>
      </c>
      <c r="M58" s="2"/>
      <c r="N58" s="2"/>
      <c r="O58" s="42">
        <f>(($S58-$L58)/21*6)+$L58</f>
        <v>0.92908571428571429</v>
      </c>
      <c r="P58" s="42">
        <f>(($S58-$L58)/21*10)+$L58</f>
        <v>0.93780952380952387</v>
      </c>
      <c r="Q58" s="42">
        <f>(($S58-$L58)/21*14)+$L58</f>
        <v>0.94653333333333345</v>
      </c>
      <c r="R58" s="75">
        <f>(($S58-$L58)/21*18)+$L58</f>
        <v>0.95525714285714292</v>
      </c>
      <c r="S58" s="75">
        <f>L58*1.05</f>
        <v>0.9618000000000001</v>
      </c>
      <c r="T58" s="70" t="s">
        <v>602</v>
      </c>
      <c r="U58" s="2" t="s">
        <v>397</v>
      </c>
      <c r="V58" t="s">
        <v>599</v>
      </c>
      <c r="W58" t="s">
        <v>432</v>
      </c>
      <c r="X58" t="s">
        <v>432</v>
      </c>
      <c r="Y58" t="s">
        <v>432</v>
      </c>
      <c r="Z58" s="3"/>
      <c r="AA58" s="3" t="s">
        <v>494</v>
      </c>
      <c r="AB58" s="3"/>
      <c r="AC58" s="3" t="s">
        <v>494</v>
      </c>
      <c r="AD58" s="2" t="s">
        <v>149</v>
      </c>
    </row>
    <row r="59" spans="1:30" ht="60" hidden="1" x14ac:dyDescent="0.25">
      <c r="A59" s="59"/>
      <c r="B59" s="59" t="s">
        <v>4</v>
      </c>
      <c r="C59" s="59">
        <v>6</v>
      </c>
      <c r="D59" s="5" t="s">
        <v>115</v>
      </c>
      <c r="E59" s="2" t="s">
        <v>116</v>
      </c>
      <c r="F59" s="2" t="s">
        <v>573</v>
      </c>
      <c r="G59" s="8" t="s">
        <v>461</v>
      </c>
      <c r="H59" s="8" t="s">
        <v>462</v>
      </c>
      <c r="I59" s="3"/>
      <c r="J59" s="5" t="s">
        <v>151</v>
      </c>
      <c r="K59" s="2"/>
      <c r="L59" s="2"/>
      <c r="M59" s="2"/>
      <c r="N59" s="2"/>
      <c r="O59" s="42"/>
      <c r="P59" s="42"/>
      <c r="Q59" s="42"/>
      <c r="R59" s="5"/>
      <c r="S59" s="5"/>
      <c r="T59" s="2"/>
      <c r="U59" s="2" t="s">
        <v>398</v>
      </c>
      <c r="X59" t="s">
        <v>432</v>
      </c>
      <c r="Y59" t="s">
        <v>432</v>
      </c>
      <c r="Z59" s="3"/>
      <c r="AA59" s="3" t="s">
        <v>494</v>
      </c>
      <c r="AB59" s="3"/>
      <c r="AC59" s="3" t="s">
        <v>499</v>
      </c>
      <c r="AD59" s="2"/>
    </row>
    <row r="60" spans="1:30" ht="60" x14ac:dyDescent="0.25">
      <c r="A60" s="59" t="s">
        <v>702</v>
      </c>
      <c r="B60" s="59" t="s">
        <v>4</v>
      </c>
      <c r="C60" s="59">
        <v>6</v>
      </c>
      <c r="D60" s="5" t="s">
        <v>115</v>
      </c>
      <c r="E60" s="2" t="s">
        <v>116</v>
      </c>
      <c r="F60" s="2" t="s">
        <v>573</v>
      </c>
      <c r="G60" s="8" t="s">
        <v>493</v>
      </c>
      <c r="H60" s="8" t="s">
        <v>369</v>
      </c>
      <c r="I60" s="8" t="s">
        <v>146</v>
      </c>
      <c r="J60" s="5" t="s">
        <v>151</v>
      </c>
      <c r="K60" s="2" t="s">
        <v>354</v>
      </c>
      <c r="L60" s="42">
        <v>0.17630000000000001</v>
      </c>
      <c r="M60" s="2" t="s">
        <v>606</v>
      </c>
      <c r="N60" s="29">
        <v>0.16969999999999999</v>
      </c>
      <c r="O60" s="42">
        <f>(($S60-$L60)/21*6)+$L60</f>
        <v>0.35450000000000004</v>
      </c>
      <c r="P60" s="42">
        <f>(($S60-$L60)/21*10)+$L60</f>
        <v>0.4733</v>
      </c>
      <c r="Q60" s="42">
        <f>(($S60-$L60)/21*14)+$L60</f>
        <v>0.59210000000000007</v>
      </c>
      <c r="R60" s="75">
        <f>(($S60-$L60)/21*18)+$L60</f>
        <v>0.71089999999999998</v>
      </c>
      <c r="S60" s="75">
        <v>0.8</v>
      </c>
      <c r="T60" s="73" t="s">
        <v>625</v>
      </c>
      <c r="U60" s="2" t="s">
        <v>397</v>
      </c>
      <c r="V60" t="s">
        <v>599</v>
      </c>
      <c r="W60" t="s">
        <v>432</v>
      </c>
      <c r="X60" t="s">
        <v>432</v>
      </c>
      <c r="Y60" t="s">
        <v>432</v>
      </c>
      <c r="AA60" s="3" t="s">
        <v>494</v>
      </c>
      <c r="AC60" s="3" t="s">
        <v>494</v>
      </c>
      <c r="AD60" s="2" t="s">
        <v>149</v>
      </c>
    </row>
    <row r="61" spans="1:30" ht="60" hidden="1" x14ac:dyDescent="0.25">
      <c r="A61" s="59"/>
      <c r="B61" s="59" t="s">
        <v>4</v>
      </c>
      <c r="C61" s="59">
        <v>7</v>
      </c>
      <c r="D61" s="2" t="s">
        <v>117</v>
      </c>
      <c r="E61" s="2" t="s">
        <v>118</v>
      </c>
      <c r="F61" s="2" t="s">
        <v>574</v>
      </c>
      <c r="G61" s="8" t="s">
        <v>486</v>
      </c>
      <c r="H61" s="20" t="s">
        <v>144</v>
      </c>
      <c r="I61" s="8" t="s">
        <v>143</v>
      </c>
      <c r="J61" s="2" t="s">
        <v>27</v>
      </c>
      <c r="K61" s="2"/>
      <c r="L61" s="2"/>
      <c r="M61" s="2"/>
      <c r="N61" s="2"/>
      <c r="O61" s="42"/>
      <c r="P61" s="42"/>
      <c r="Q61" s="42"/>
      <c r="R61" s="5"/>
      <c r="S61" s="5"/>
      <c r="T61" s="2"/>
      <c r="U61" s="2" t="s">
        <v>351</v>
      </c>
      <c r="W61" s="3" t="s">
        <v>432</v>
      </c>
      <c r="X61" s="3" t="s">
        <v>432</v>
      </c>
      <c r="Y61" s="3" t="s">
        <v>455</v>
      </c>
      <c r="Z61" s="3"/>
      <c r="AA61" s="3" t="s">
        <v>497</v>
      </c>
      <c r="AB61" s="3"/>
      <c r="AC61" s="3" t="s">
        <v>495</v>
      </c>
      <c r="AD61" s="2"/>
    </row>
    <row r="62" spans="1:30" ht="45" hidden="1" x14ac:dyDescent="0.25">
      <c r="A62" s="59"/>
      <c r="B62" s="59" t="s">
        <v>4</v>
      </c>
      <c r="C62" s="59">
        <v>7</v>
      </c>
      <c r="D62" s="2" t="s">
        <v>117</v>
      </c>
      <c r="E62" s="2" t="s">
        <v>118</v>
      </c>
      <c r="F62" s="2" t="s">
        <v>574</v>
      </c>
      <c r="G62" s="8" t="s">
        <v>527</v>
      </c>
      <c r="H62" s="20" t="s">
        <v>528</v>
      </c>
      <c r="I62" s="8" t="s">
        <v>143</v>
      </c>
      <c r="J62" s="2" t="s">
        <v>11</v>
      </c>
      <c r="K62" s="2"/>
      <c r="L62" s="2"/>
      <c r="M62" s="2"/>
      <c r="N62" s="2"/>
      <c r="O62" s="42"/>
      <c r="P62" s="42"/>
      <c r="Q62" s="42"/>
      <c r="R62" s="5"/>
      <c r="S62" s="5"/>
      <c r="T62" s="2"/>
      <c r="U62" s="2" t="s">
        <v>398</v>
      </c>
      <c r="W62" s="3"/>
      <c r="X62" s="3" t="s">
        <v>432</v>
      </c>
      <c r="Y62" s="3" t="s">
        <v>432</v>
      </c>
      <c r="Z62" s="3"/>
      <c r="AA62" s="3" t="s">
        <v>494</v>
      </c>
      <c r="AB62" s="3"/>
      <c r="AC62" s="3" t="s">
        <v>498</v>
      </c>
      <c r="AD62" s="2"/>
    </row>
    <row r="63" spans="1:30" ht="45" x14ac:dyDescent="0.25">
      <c r="A63" s="59" t="s">
        <v>703</v>
      </c>
      <c r="B63" s="59" t="s">
        <v>4</v>
      </c>
      <c r="C63" s="59">
        <v>7</v>
      </c>
      <c r="D63" s="2" t="s">
        <v>117</v>
      </c>
      <c r="E63" s="2" t="s">
        <v>118</v>
      </c>
      <c r="F63" s="2" t="s">
        <v>574</v>
      </c>
      <c r="G63" s="8" t="s">
        <v>630</v>
      </c>
      <c r="H63" s="8" t="s">
        <v>631</v>
      </c>
      <c r="I63" s="8"/>
      <c r="J63" s="2" t="s">
        <v>685</v>
      </c>
      <c r="K63" s="2">
        <v>2016</v>
      </c>
      <c r="L63" s="42">
        <v>0.33</v>
      </c>
      <c r="M63" s="2"/>
      <c r="N63" s="3"/>
      <c r="O63" s="42">
        <f>(($S63-$L63)/21*6)+$L63</f>
        <v>0.37342857142857144</v>
      </c>
      <c r="P63" s="42">
        <f>(($S63-$L63)/21*10)+$L63</f>
        <v>0.40238095238095239</v>
      </c>
      <c r="Q63" s="42">
        <f>(($S63-$L63)/21*14)+$L63</f>
        <v>0.43133333333333335</v>
      </c>
      <c r="R63" s="75">
        <f>(($S63-$L63)/21*18)+$L63</f>
        <v>0.4602857142857143</v>
      </c>
      <c r="S63" s="75">
        <v>0.48199999999999998</v>
      </c>
      <c r="T63" s="73" t="s">
        <v>633</v>
      </c>
      <c r="U63" s="2" t="s">
        <v>397</v>
      </c>
      <c r="V63" t="s">
        <v>599</v>
      </c>
      <c r="W63" t="s">
        <v>432</v>
      </c>
      <c r="X63" t="s">
        <v>432</v>
      </c>
      <c r="Y63" t="s">
        <v>432</v>
      </c>
      <c r="AA63" s="3" t="s">
        <v>494</v>
      </c>
      <c r="AC63" s="3" t="s">
        <v>494</v>
      </c>
      <c r="AD63" s="2" t="s">
        <v>149</v>
      </c>
    </row>
    <row r="64" spans="1:30" ht="45" hidden="1" x14ac:dyDescent="0.25">
      <c r="A64" s="59"/>
      <c r="B64" s="59" t="s">
        <v>4</v>
      </c>
      <c r="C64" s="59">
        <v>7</v>
      </c>
      <c r="D64" s="2" t="s">
        <v>117</v>
      </c>
      <c r="E64" s="2" t="s">
        <v>118</v>
      </c>
      <c r="F64" s="2" t="s">
        <v>574</v>
      </c>
      <c r="G64" s="8" t="s">
        <v>529</v>
      </c>
      <c r="H64" s="8" t="s">
        <v>477</v>
      </c>
      <c r="I64" s="20" t="s">
        <v>158</v>
      </c>
      <c r="J64" s="5" t="s">
        <v>151</v>
      </c>
      <c r="K64" s="2">
        <v>2018</v>
      </c>
      <c r="L64" s="29">
        <v>4.9200000000000001E-2</v>
      </c>
      <c r="M64" s="2">
        <v>2019</v>
      </c>
      <c r="N64" s="29">
        <v>7.7200000000000005E-2</v>
      </c>
      <c r="O64" s="42"/>
      <c r="P64" s="42"/>
      <c r="Q64" s="42"/>
      <c r="R64" s="75"/>
      <c r="S64" s="75"/>
      <c r="T64" s="69"/>
      <c r="U64" s="2" t="s">
        <v>398</v>
      </c>
      <c r="W64" t="s">
        <v>432</v>
      </c>
      <c r="X64" t="s">
        <v>432</v>
      </c>
      <c r="Y64" t="s">
        <v>432</v>
      </c>
      <c r="AA64" s="3" t="s">
        <v>494</v>
      </c>
      <c r="AC64" s="3" t="s">
        <v>494</v>
      </c>
      <c r="AD64" s="2" t="s">
        <v>149</v>
      </c>
    </row>
    <row r="65" spans="1:30" ht="45" hidden="1" x14ac:dyDescent="0.25">
      <c r="A65" s="59"/>
      <c r="B65" s="59" t="s">
        <v>4</v>
      </c>
      <c r="C65" s="59">
        <v>7</v>
      </c>
      <c r="D65" s="2" t="s">
        <v>117</v>
      </c>
      <c r="E65" s="2" t="s">
        <v>118</v>
      </c>
      <c r="F65" s="2" t="s">
        <v>574</v>
      </c>
      <c r="G65" s="8" t="s">
        <v>457</v>
      </c>
      <c r="H65" s="23" t="s">
        <v>144</v>
      </c>
      <c r="I65" s="20" t="s">
        <v>163</v>
      </c>
      <c r="J65" s="20" t="s">
        <v>162</v>
      </c>
      <c r="K65" s="2"/>
      <c r="L65" s="2"/>
      <c r="M65" s="2"/>
      <c r="N65" s="2"/>
      <c r="O65" s="42"/>
      <c r="P65" s="42"/>
      <c r="Q65" s="42"/>
      <c r="R65" s="5"/>
      <c r="S65" s="5"/>
      <c r="T65" s="2"/>
      <c r="U65" s="2" t="s">
        <v>398</v>
      </c>
      <c r="W65" s="3"/>
      <c r="X65" s="3"/>
      <c r="Y65" s="3"/>
      <c r="Z65" s="3"/>
      <c r="AA65" s="3" t="s">
        <v>494</v>
      </c>
      <c r="AB65" s="3"/>
      <c r="AC65" s="3" t="s">
        <v>498</v>
      </c>
      <c r="AD65" s="2" t="s">
        <v>149</v>
      </c>
    </row>
    <row r="66" spans="1:30" ht="75" hidden="1" x14ac:dyDescent="0.25">
      <c r="A66" s="59"/>
      <c r="B66" s="59" t="s">
        <v>4</v>
      </c>
      <c r="C66" s="59">
        <v>7</v>
      </c>
      <c r="D66" s="2" t="s">
        <v>117</v>
      </c>
      <c r="E66" s="2" t="s">
        <v>118</v>
      </c>
      <c r="F66" s="2" t="s">
        <v>574</v>
      </c>
      <c r="G66" s="8" t="s">
        <v>530</v>
      </c>
      <c r="H66" s="8" t="s">
        <v>373</v>
      </c>
      <c r="I66" s="8" t="s">
        <v>143</v>
      </c>
      <c r="J66" s="2" t="s">
        <v>28</v>
      </c>
      <c r="K66" s="2">
        <v>2016</v>
      </c>
      <c r="L66" s="42">
        <v>0.18099999999999999</v>
      </c>
      <c r="M66" s="2"/>
      <c r="N66" s="2"/>
      <c r="O66" s="42"/>
      <c r="P66" s="42"/>
      <c r="Q66" s="42"/>
      <c r="R66" s="5"/>
      <c r="S66" s="5"/>
      <c r="T66" s="2"/>
      <c r="U66" s="2" t="s">
        <v>398</v>
      </c>
      <c r="W66" t="s">
        <v>432</v>
      </c>
      <c r="X66" t="s">
        <v>432</v>
      </c>
      <c r="Y66" t="s">
        <v>432</v>
      </c>
      <c r="AA66" s="3" t="s">
        <v>497</v>
      </c>
      <c r="AC66" s="3" t="s">
        <v>497</v>
      </c>
      <c r="AD66" s="2"/>
    </row>
    <row r="67" spans="1:30" ht="45" hidden="1" x14ac:dyDescent="0.25">
      <c r="A67" s="59"/>
      <c r="B67" s="59" t="s">
        <v>4</v>
      </c>
      <c r="C67" s="59">
        <v>7</v>
      </c>
      <c r="D67" s="2" t="s">
        <v>117</v>
      </c>
      <c r="E67" s="2" t="s">
        <v>118</v>
      </c>
      <c r="F67" s="2" t="s">
        <v>574</v>
      </c>
      <c r="G67" s="8" t="s">
        <v>531</v>
      </c>
      <c r="H67" s="8" t="s">
        <v>487</v>
      </c>
      <c r="I67" s="8" t="s">
        <v>113</v>
      </c>
      <c r="J67" s="2" t="s">
        <v>13</v>
      </c>
      <c r="K67" s="3">
        <v>2018</v>
      </c>
      <c r="L67" s="32">
        <v>0.93</v>
      </c>
      <c r="M67" s="3">
        <v>2019</v>
      </c>
      <c r="N67" s="32">
        <v>0.93</v>
      </c>
      <c r="O67" s="42"/>
      <c r="P67" s="42"/>
      <c r="Q67" s="42"/>
      <c r="R67" s="5"/>
      <c r="S67" s="5"/>
      <c r="T67" s="2"/>
      <c r="U67" s="2" t="s">
        <v>351</v>
      </c>
      <c r="W67" t="s">
        <v>432</v>
      </c>
      <c r="X67" t="s">
        <v>432</v>
      </c>
      <c r="AA67" s="3" t="s">
        <v>494</v>
      </c>
      <c r="AC67" s="3" t="s">
        <v>498</v>
      </c>
      <c r="AD67" s="3" t="s">
        <v>149</v>
      </c>
    </row>
    <row r="68" spans="1:30" ht="45" hidden="1" x14ac:dyDescent="0.25">
      <c r="A68" s="59"/>
      <c r="B68" s="59" t="s">
        <v>4</v>
      </c>
      <c r="C68" s="59">
        <v>7</v>
      </c>
      <c r="D68" s="2" t="s">
        <v>117</v>
      </c>
      <c r="E68" s="2" t="s">
        <v>118</v>
      </c>
      <c r="F68" s="2" t="s">
        <v>574</v>
      </c>
      <c r="G68" s="8" t="s">
        <v>532</v>
      </c>
      <c r="H68" s="8" t="s">
        <v>443</v>
      </c>
      <c r="I68" s="8" t="s">
        <v>113</v>
      </c>
      <c r="J68" s="2" t="s">
        <v>26</v>
      </c>
      <c r="K68" s="3">
        <v>2018</v>
      </c>
      <c r="L68" s="32">
        <v>0.96699999999999997</v>
      </c>
      <c r="M68" s="3">
        <v>2019</v>
      </c>
      <c r="N68" s="32">
        <v>0.97</v>
      </c>
      <c r="O68" s="42"/>
      <c r="P68" s="42"/>
      <c r="Q68" s="42"/>
      <c r="R68" s="5"/>
      <c r="S68" s="5"/>
      <c r="T68" s="2"/>
      <c r="U68" s="2" t="s">
        <v>398</v>
      </c>
      <c r="W68" t="s">
        <v>432</v>
      </c>
      <c r="AA68" s="3" t="s">
        <v>494</v>
      </c>
      <c r="AC68" s="3" t="s">
        <v>494</v>
      </c>
      <c r="AD68" s="3"/>
    </row>
    <row r="69" spans="1:30" ht="45" hidden="1" x14ac:dyDescent="0.25">
      <c r="A69" s="59"/>
      <c r="B69" s="59" t="s">
        <v>4</v>
      </c>
      <c r="C69" s="59">
        <v>7</v>
      </c>
      <c r="D69" s="2" t="s">
        <v>117</v>
      </c>
      <c r="E69" s="2" t="s">
        <v>118</v>
      </c>
      <c r="F69" s="2" t="s">
        <v>574</v>
      </c>
      <c r="G69" s="8" t="s">
        <v>444</v>
      </c>
      <c r="H69" s="8" t="s">
        <v>403</v>
      </c>
      <c r="I69" s="8" t="s">
        <v>113</v>
      </c>
      <c r="J69" s="2" t="s">
        <v>25</v>
      </c>
      <c r="K69" s="3">
        <v>2018</v>
      </c>
      <c r="L69" s="3">
        <v>5.27</v>
      </c>
      <c r="M69" s="3">
        <v>2019</v>
      </c>
      <c r="N69" s="3">
        <v>5.6</v>
      </c>
      <c r="O69" s="42"/>
      <c r="P69" s="42"/>
      <c r="Q69" s="42"/>
      <c r="R69" s="80"/>
      <c r="S69" s="80">
        <f>L69*1.05</f>
        <v>5.5335000000000001</v>
      </c>
      <c r="T69" s="70" t="s">
        <v>602</v>
      </c>
      <c r="U69" s="2" t="s">
        <v>398</v>
      </c>
      <c r="W69" t="s">
        <v>432</v>
      </c>
      <c r="X69" t="s">
        <v>432</v>
      </c>
      <c r="AA69" s="3" t="s">
        <v>497</v>
      </c>
      <c r="AC69" s="3" t="s">
        <v>498</v>
      </c>
      <c r="AD69" s="3" t="s">
        <v>149</v>
      </c>
    </row>
    <row r="70" spans="1:30" ht="45" hidden="1" x14ac:dyDescent="0.25">
      <c r="A70" s="59"/>
      <c r="B70" s="59" t="s">
        <v>4</v>
      </c>
      <c r="C70" s="59">
        <v>7</v>
      </c>
      <c r="D70" s="2" t="s">
        <v>117</v>
      </c>
      <c r="E70" s="2" t="s">
        <v>118</v>
      </c>
      <c r="F70" s="2" t="s">
        <v>574</v>
      </c>
      <c r="G70" s="8" t="s">
        <v>478</v>
      </c>
      <c r="H70" s="20" t="s">
        <v>144</v>
      </c>
      <c r="I70" s="8"/>
      <c r="J70" s="5" t="s">
        <v>28</v>
      </c>
      <c r="K70" s="3"/>
      <c r="L70" s="2"/>
      <c r="M70" s="2"/>
      <c r="N70" s="2"/>
      <c r="O70" s="42"/>
      <c r="P70" s="42"/>
      <c r="Q70" s="42"/>
      <c r="R70" s="5"/>
      <c r="S70" s="5"/>
      <c r="T70" s="2"/>
      <c r="U70" s="2" t="s">
        <v>351</v>
      </c>
      <c r="W70" s="3" t="s">
        <v>432</v>
      </c>
      <c r="X70" s="3" t="s">
        <v>432</v>
      </c>
      <c r="Y70" s="3" t="s">
        <v>432</v>
      </c>
      <c r="Z70" s="3"/>
      <c r="AA70" s="3" t="s">
        <v>497</v>
      </c>
      <c r="AB70" s="3"/>
      <c r="AC70" s="3" t="s">
        <v>498</v>
      </c>
      <c r="AD70" s="3" t="s">
        <v>149</v>
      </c>
    </row>
    <row r="71" spans="1:30" ht="60" hidden="1" x14ac:dyDescent="0.25">
      <c r="A71" s="59"/>
      <c r="B71" s="59" t="s">
        <v>4</v>
      </c>
      <c r="C71" s="59">
        <v>7</v>
      </c>
      <c r="D71" s="2" t="s">
        <v>117</v>
      </c>
      <c r="E71" s="2" t="s">
        <v>118</v>
      </c>
      <c r="F71" s="2" t="s">
        <v>574</v>
      </c>
      <c r="G71" s="8" t="s">
        <v>479</v>
      </c>
      <c r="H71" s="8" t="s">
        <v>465</v>
      </c>
      <c r="I71" s="8" t="s">
        <v>146</v>
      </c>
      <c r="J71" s="5" t="s">
        <v>151</v>
      </c>
      <c r="K71" s="3"/>
      <c r="L71" s="2"/>
      <c r="M71" s="2"/>
      <c r="N71" s="2"/>
      <c r="O71" s="42"/>
      <c r="P71" s="42"/>
      <c r="Q71" s="42"/>
      <c r="R71" s="5"/>
      <c r="S71" s="5"/>
      <c r="T71" s="2"/>
      <c r="U71" s="2" t="s">
        <v>351</v>
      </c>
      <c r="W71" s="3" t="s">
        <v>455</v>
      </c>
      <c r="X71" s="3" t="s">
        <v>455</v>
      </c>
      <c r="Y71" s="3" t="s">
        <v>455</v>
      </c>
      <c r="Z71" s="3"/>
      <c r="AA71" s="3" t="s">
        <v>494</v>
      </c>
      <c r="AB71" s="3"/>
      <c r="AC71" s="3" t="s">
        <v>498</v>
      </c>
      <c r="AD71" s="3" t="s">
        <v>149</v>
      </c>
    </row>
    <row r="72" spans="1:30" ht="75" hidden="1" x14ac:dyDescent="0.25">
      <c r="A72" s="59"/>
      <c r="B72" s="59" t="s">
        <v>4</v>
      </c>
      <c r="C72" s="59">
        <v>8</v>
      </c>
      <c r="D72" s="2" t="s">
        <v>119</v>
      </c>
      <c r="E72" s="2" t="s">
        <v>120</v>
      </c>
      <c r="F72" s="2" t="s">
        <v>501</v>
      </c>
      <c r="G72" s="8" t="s">
        <v>488</v>
      </c>
      <c r="H72" s="20" t="s">
        <v>144</v>
      </c>
      <c r="I72" s="8" t="s">
        <v>113</v>
      </c>
      <c r="J72" s="2" t="s">
        <v>13</v>
      </c>
      <c r="K72" s="2"/>
      <c r="L72" s="2"/>
      <c r="M72" s="2"/>
      <c r="N72" s="2"/>
      <c r="O72" s="42"/>
      <c r="P72" s="42"/>
      <c r="Q72" s="42"/>
      <c r="R72" s="5"/>
      <c r="S72" s="5"/>
      <c r="T72" s="2"/>
      <c r="U72" s="2" t="s">
        <v>351</v>
      </c>
      <c r="W72" s="3"/>
      <c r="X72" s="3" t="s">
        <v>432</v>
      </c>
      <c r="Y72" s="3"/>
      <c r="Z72" s="3"/>
      <c r="AA72" s="3" t="s">
        <v>494</v>
      </c>
      <c r="AB72" s="3"/>
      <c r="AC72" s="3" t="s">
        <v>498</v>
      </c>
      <c r="AD72" s="2"/>
    </row>
    <row r="73" spans="1:30" ht="60" hidden="1" x14ac:dyDescent="0.25">
      <c r="A73" s="59"/>
      <c r="B73" s="59" t="s">
        <v>4</v>
      </c>
      <c r="C73" s="59">
        <v>8</v>
      </c>
      <c r="D73" s="2" t="s">
        <v>119</v>
      </c>
      <c r="E73" s="2" t="s">
        <v>120</v>
      </c>
      <c r="F73" s="2" t="s">
        <v>501</v>
      </c>
      <c r="G73" s="8" t="s">
        <v>404</v>
      </c>
      <c r="H73" s="8" t="s">
        <v>405</v>
      </c>
      <c r="I73" s="20"/>
      <c r="J73" s="5" t="s">
        <v>151</v>
      </c>
      <c r="K73" s="2"/>
      <c r="L73" s="2"/>
      <c r="M73" s="2"/>
      <c r="N73" s="2"/>
      <c r="O73" s="42"/>
      <c r="P73" s="42"/>
      <c r="Q73" s="42"/>
      <c r="R73" s="5"/>
      <c r="S73" s="5"/>
      <c r="T73" s="2"/>
      <c r="U73" s="2" t="s">
        <v>398</v>
      </c>
      <c r="W73" s="3"/>
      <c r="X73" s="3"/>
      <c r="Y73" s="3"/>
      <c r="Z73" s="3"/>
      <c r="AA73" s="3" t="s">
        <v>494</v>
      </c>
      <c r="AB73" s="3"/>
      <c r="AC73" s="3" t="s">
        <v>498</v>
      </c>
      <c r="AD73" s="2"/>
    </row>
    <row r="74" spans="1:30" ht="60" x14ac:dyDescent="0.25">
      <c r="A74" s="59" t="s">
        <v>704</v>
      </c>
      <c r="B74" s="59" t="s">
        <v>4</v>
      </c>
      <c r="C74" s="59">
        <v>8</v>
      </c>
      <c r="D74" s="2" t="s">
        <v>119</v>
      </c>
      <c r="E74" s="2" t="s">
        <v>687</v>
      </c>
      <c r="F74" s="2" t="s">
        <v>501</v>
      </c>
      <c r="G74" s="8" t="s">
        <v>662</v>
      </c>
      <c r="H74" s="8" t="s">
        <v>597</v>
      </c>
      <c r="I74" s="8" t="s">
        <v>151</v>
      </c>
      <c r="J74" s="5" t="s">
        <v>596</v>
      </c>
      <c r="K74" s="3" t="s">
        <v>606</v>
      </c>
      <c r="L74" s="67">
        <v>46.94</v>
      </c>
      <c r="M74" s="3"/>
      <c r="N74" s="3"/>
      <c r="O74" s="67">
        <f t="shared" ref="O74:O75" si="4">(($S74-$L74)/21*6)+$L74</f>
        <v>47.610571428571426</v>
      </c>
      <c r="P74" s="67">
        <f t="shared" ref="P74:P75" si="5">(($S74-$L74)/21*10)+$L74</f>
        <v>48.057619047619049</v>
      </c>
      <c r="Q74" s="67">
        <f t="shared" ref="Q74:Q75" si="6">(($S74-$L74)/21*14)+$L74</f>
        <v>48.504666666666665</v>
      </c>
      <c r="R74" s="80">
        <f t="shared" ref="R74:R75" si="7">(($S74-$L74)/21*18)+$L74</f>
        <v>48.951714285714282</v>
      </c>
      <c r="S74" s="80">
        <f>L74*1.05</f>
        <v>49.286999999999999</v>
      </c>
      <c r="T74" s="70" t="s">
        <v>602</v>
      </c>
      <c r="U74" s="2" t="s">
        <v>397</v>
      </c>
      <c r="V74" t="s">
        <v>599</v>
      </c>
      <c r="W74" s="3"/>
      <c r="X74" s="3"/>
      <c r="Y74" s="3"/>
      <c r="Z74" s="3"/>
      <c r="AA74" s="3" t="s">
        <v>494</v>
      </c>
      <c r="AB74" s="3"/>
      <c r="AC74" s="3" t="s">
        <v>494</v>
      </c>
      <c r="AD74" s="2" t="s">
        <v>164</v>
      </c>
    </row>
    <row r="75" spans="1:30" ht="60" x14ac:dyDescent="0.25">
      <c r="A75" s="59" t="s">
        <v>705</v>
      </c>
      <c r="B75" s="59" t="s">
        <v>4</v>
      </c>
      <c r="C75" s="59">
        <v>8</v>
      </c>
      <c r="D75" s="2" t="s">
        <v>119</v>
      </c>
      <c r="E75" s="2" t="s">
        <v>687</v>
      </c>
      <c r="F75" s="2" t="s">
        <v>501</v>
      </c>
      <c r="G75" s="8" t="s">
        <v>663</v>
      </c>
      <c r="H75" s="8" t="s">
        <v>643</v>
      </c>
      <c r="I75" s="8" t="s">
        <v>113</v>
      </c>
      <c r="J75" s="2" t="s">
        <v>399</v>
      </c>
      <c r="K75" s="2">
        <v>2018</v>
      </c>
      <c r="L75" s="2">
        <v>71</v>
      </c>
      <c r="M75" s="2">
        <v>2019</v>
      </c>
      <c r="N75" s="2">
        <v>71</v>
      </c>
      <c r="O75" s="68">
        <f t="shared" si="4"/>
        <v>73.285714285714292</v>
      </c>
      <c r="P75" s="68">
        <f t="shared" si="5"/>
        <v>74.80952380952381</v>
      </c>
      <c r="Q75" s="68">
        <f t="shared" si="6"/>
        <v>76.333333333333329</v>
      </c>
      <c r="R75" s="79">
        <f t="shared" si="7"/>
        <v>77.857142857142861</v>
      </c>
      <c r="S75" s="79">
        <v>79</v>
      </c>
      <c r="T75" s="73" t="s">
        <v>626</v>
      </c>
      <c r="U75" s="2" t="s">
        <v>397</v>
      </c>
      <c r="V75" t="s">
        <v>599</v>
      </c>
      <c r="W75" t="s">
        <v>432</v>
      </c>
      <c r="X75" t="s">
        <v>432</v>
      </c>
      <c r="AA75" s="3" t="s">
        <v>494</v>
      </c>
      <c r="AC75" s="3" t="s">
        <v>494</v>
      </c>
      <c r="AD75" s="2" t="s">
        <v>149</v>
      </c>
    </row>
    <row r="76" spans="1:30" ht="60" hidden="1" x14ac:dyDescent="0.25">
      <c r="A76" s="59"/>
      <c r="B76" s="59" t="s">
        <v>4</v>
      </c>
      <c r="C76" s="59">
        <v>8</v>
      </c>
      <c r="D76" s="2" t="s">
        <v>119</v>
      </c>
      <c r="E76" s="2" t="s">
        <v>120</v>
      </c>
      <c r="F76" s="2" t="s">
        <v>501</v>
      </c>
      <c r="G76" s="8" t="s">
        <v>534</v>
      </c>
      <c r="H76" s="8" t="s">
        <v>533</v>
      </c>
      <c r="I76" s="8" t="s">
        <v>113</v>
      </c>
      <c r="J76" s="2" t="s">
        <v>13</v>
      </c>
      <c r="K76" s="2">
        <v>2018</v>
      </c>
      <c r="L76" s="42">
        <v>0.60299999999999998</v>
      </c>
      <c r="M76" s="2">
        <v>2019</v>
      </c>
      <c r="N76" s="42">
        <v>0.57399999999999995</v>
      </c>
      <c r="O76" s="42"/>
      <c r="P76" s="42"/>
      <c r="Q76" s="42"/>
      <c r="R76" s="5"/>
      <c r="S76" s="5"/>
      <c r="T76" s="2"/>
      <c r="U76" s="2" t="s">
        <v>398</v>
      </c>
      <c r="W76" t="s">
        <v>432</v>
      </c>
      <c r="X76" t="s">
        <v>432</v>
      </c>
      <c r="AA76" s="3" t="s">
        <v>494</v>
      </c>
      <c r="AC76" s="3" t="s">
        <v>494</v>
      </c>
      <c r="AD76" s="2" t="s">
        <v>149</v>
      </c>
    </row>
    <row r="77" spans="1:30" ht="60" hidden="1" x14ac:dyDescent="0.25">
      <c r="A77" s="59"/>
      <c r="B77" s="59" t="s">
        <v>4</v>
      </c>
      <c r="C77" s="59">
        <v>8</v>
      </c>
      <c r="D77" s="2" t="s">
        <v>119</v>
      </c>
      <c r="E77" s="2" t="s">
        <v>120</v>
      </c>
      <c r="F77" s="2" t="s">
        <v>501</v>
      </c>
      <c r="G77" s="8" t="s">
        <v>555</v>
      </c>
      <c r="H77" s="8" t="s">
        <v>544</v>
      </c>
      <c r="I77" s="8" t="s">
        <v>113</v>
      </c>
      <c r="J77" s="2" t="s">
        <v>159</v>
      </c>
      <c r="K77" s="2">
        <v>2018</v>
      </c>
      <c r="L77" s="2">
        <v>76</v>
      </c>
      <c r="M77" s="2">
        <v>2019</v>
      </c>
      <c r="N77" s="2">
        <v>78</v>
      </c>
      <c r="O77" s="42"/>
      <c r="P77" s="42"/>
      <c r="Q77" s="42"/>
      <c r="R77" s="5"/>
      <c r="S77" s="5"/>
      <c r="T77" s="2"/>
      <c r="U77" s="2" t="s">
        <v>398</v>
      </c>
      <c r="W77" t="s">
        <v>432</v>
      </c>
      <c r="X77" t="s">
        <v>432</v>
      </c>
      <c r="Y77" t="s">
        <v>432</v>
      </c>
      <c r="AA77" s="3" t="s">
        <v>494</v>
      </c>
      <c r="AC77" s="3" t="s">
        <v>494</v>
      </c>
      <c r="AD77" s="2" t="s">
        <v>150</v>
      </c>
    </row>
    <row r="78" spans="1:30" ht="60" hidden="1" x14ac:dyDescent="0.25">
      <c r="A78" s="59"/>
      <c r="B78" s="59" t="s">
        <v>4</v>
      </c>
      <c r="C78" s="59">
        <v>8</v>
      </c>
      <c r="D78" s="2" t="s">
        <v>119</v>
      </c>
      <c r="E78" s="2" t="s">
        <v>120</v>
      </c>
      <c r="F78" s="2" t="s">
        <v>501</v>
      </c>
      <c r="G78" s="8" t="s">
        <v>480</v>
      </c>
      <c r="H78" s="20" t="s">
        <v>144</v>
      </c>
      <c r="I78" s="40" t="s">
        <v>374</v>
      </c>
      <c r="J78" s="2" t="s">
        <v>16</v>
      </c>
      <c r="K78" s="2"/>
      <c r="L78" s="2"/>
      <c r="M78" s="2"/>
      <c r="N78" s="2"/>
      <c r="O78" s="42"/>
      <c r="P78" s="42"/>
      <c r="Q78" s="42"/>
      <c r="R78" s="5"/>
      <c r="S78" s="5"/>
      <c r="T78" s="2"/>
      <c r="U78" s="2" t="s">
        <v>398</v>
      </c>
      <c r="W78" s="3"/>
      <c r="X78" s="3"/>
      <c r="Y78" s="3" t="s">
        <v>432</v>
      </c>
      <c r="Z78" s="3"/>
      <c r="AA78" s="3" t="s">
        <v>494</v>
      </c>
      <c r="AB78" s="3"/>
      <c r="AC78" s="3" t="s">
        <v>494</v>
      </c>
      <c r="AD78" s="2" t="s">
        <v>150</v>
      </c>
    </row>
    <row r="79" spans="1:30" ht="135" hidden="1" x14ac:dyDescent="0.25">
      <c r="A79" s="59"/>
      <c r="B79" s="59" t="s">
        <v>4</v>
      </c>
      <c r="C79" s="59">
        <v>9</v>
      </c>
      <c r="D79" s="2" t="s">
        <v>121</v>
      </c>
      <c r="E79" s="2" t="s">
        <v>122</v>
      </c>
      <c r="F79" s="2" t="s">
        <v>575</v>
      </c>
      <c r="G79" s="8" t="s">
        <v>445</v>
      </c>
      <c r="H79" s="20" t="s">
        <v>144</v>
      </c>
      <c r="I79" s="8" t="s">
        <v>143</v>
      </c>
      <c r="J79" s="2" t="s">
        <v>28</v>
      </c>
      <c r="K79" s="2"/>
      <c r="L79" s="2"/>
      <c r="M79" s="2"/>
      <c r="N79" s="2"/>
      <c r="O79" s="42"/>
      <c r="P79" s="42"/>
      <c r="Q79" s="42"/>
      <c r="R79" s="5"/>
      <c r="S79" s="5"/>
      <c r="T79" s="2"/>
      <c r="U79" s="2" t="s">
        <v>351</v>
      </c>
      <c r="W79" s="3" t="s">
        <v>455</v>
      </c>
      <c r="X79" s="3" t="s">
        <v>455</v>
      </c>
      <c r="Y79" s="3"/>
      <c r="Z79" s="3"/>
      <c r="AA79" s="3" t="s">
        <v>494</v>
      </c>
      <c r="AB79" s="3"/>
      <c r="AC79" s="3" t="s">
        <v>495</v>
      </c>
      <c r="AD79" s="2"/>
    </row>
    <row r="80" spans="1:30" ht="45" x14ac:dyDescent="0.25">
      <c r="A80" s="59" t="s">
        <v>706</v>
      </c>
      <c r="B80" s="59" t="s">
        <v>4</v>
      </c>
      <c r="C80" s="59">
        <v>9</v>
      </c>
      <c r="D80" s="2" t="s">
        <v>121</v>
      </c>
      <c r="E80" s="2" t="s">
        <v>122</v>
      </c>
      <c r="F80" s="2" t="s">
        <v>575</v>
      </c>
      <c r="G80" s="8" t="s">
        <v>664</v>
      </c>
      <c r="H80" s="56" t="s">
        <v>650</v>
      </c>
      <c r="I80" s="8"/>
      <c r="J80" s="5" t="s">
        <v>151</v>
      </c>
      <c r="K80" s="2">
        <v>2018</v>
      </c>
      <c r="L80" s="42">
        <f>1/6</f>
        <v>0.16666666666666666</v>
      </c>
      <c r="M80" s="2"/>
      <c r="N80" s="2"/>
      <c r="O80" s="42">
        <f t="shared" ref="O80:O83" si="8">(($S80-$L80)/21*6)+$L80</f>
        <v>0.40476190476190477</v>
      </c>
      <c r="P80" s="42">
        <f t="shared" ref="P80:P83" si="9">(($S80-$L80)/21*10)+$L80</f>
        <v>0.56349206349206349</v>
      </c>
      <c r="Q80" s="42">
        <f t="shared" ref="Q80:Q83" si="10">(($S80-$L80)/21*14)+$L80</f>
        <v>0.72222222222222221</v>
      </c>
      <c r="R80" s="77">
        <f t="shared" ref="R80:R83" si="11">(($S80-$L80)/21*18)+$L80</f>
        <v>0.88095238095238104</v>
      </c>
      <c r="S80" s="77">
        <v>1</v>
      </c>
      <c r="T80" s="2"/>
      <c r="U80" s="2" t="s">
        <v>397</v>
      </c>
      <c r="V80" s="2"/>
      <c r="W80" t="s">
        <v>432</v>
      </c>
      <c r="AA80" s="3" t="s">
        <v>494</v>
      </c>
      <c r="AC80" s="3" t="s">
        <v>498</v>
      </c>
      <c r="AD80" s="2" t="s">
        <v>150</v>
      </c>
    </row>
    <row r="81" spans="1:30" ht="60" x14ac:dyDescent="0.25">
      <c r="A81" s="84" t="s">
        <v>707</v>
      </c>
      <c r="B81" s="76" t="s">
        <v>5</v>
      </c>
      <c r="C81" s="76">
        <v>10</v>
      </c>
      <c r="D81" s="2" t="s">
        <v>123</v>
      </c>
      <c r="E81" s="2" t="s">
        <v>124</v>
      </c>
      <c r="F81" s="2" t="s">
        <v>502</v>
      </c>
      <c r="G81" s="8" t="s">
        <v>665</v>
      </c>
      <c r="H81" s="8" t="s">
        <v>376</v>
      </c>
      <c r="I81" s="8" t="s">
        <v>143</v>
      </c>
      <c r="J81" s="20" t="s">
        <v>688</v>
      </c>
      <c r="K81" s="2">
        <v>2018</v>
      </c>
      <c r="L81" s="42">
        <v>0.76100000000000001</v>
      </c>
      <c r="M81" s="2"/>
      <c r="N81" s="2"/>
      <c r="O81" s="42">
        <f t="shared" si="8"/>
        <v>0.80071428571428571</v>
      </c>
      <c r="P81" s="42">
        <f t="shared" si="9"/>
        <v>0.82719047619047625</v>
      </c>
      <c r="Q81" s="42">
        <f t="shared" si="10"/>
        <v>0.85366666666666668</v>
      </c>
      <c r="R81" s="75">
        <f t="shared" si="11"/>
        <v>0.88014285714285712</v>
      </c>
      <c r="S81" s="75">
        <v>0.9</v>
      </c>
      <c r="T81" s="73" t="s">
        <v>634</v>
      </c>
      <c r="U81" s="2" t="s">
        <v>397</v>
      </c>
      <c r="V81" t="s">
        <v>599</v>
      </c>
      <c r="W81" s="3"/>
      <c r="X81" s="3"/>
      <c r="Y81" s="3"/>
      <c r="Z81" s="3"/>
      <c r="AA81" s="3" t="s">
        <v>494</v>
      </c>
      <c r="AB81" s="3"/>
      <c r="AC81" s="3" t="s">
        <v>494</v>
      </c>
      <c r="AD81" s="2" t="s">
        <v>149</v>
      </c>
    </row>
    <row r="82" spans="1:30" ht="45" x14ac:dyDescent="0.25">
      <c r="A82" s="84" t="s">
        <v>708</v>
      </c>
      <c r="B82" s="76" t="s">
        <v>5</v>
      </c>
      <c r="C82" s="76">
        <v>10</v>
      </c>
      <c r="D82" s="2" t="s">
        <v>123</v>
      </c>
      <c r="E82" s="2" t="s">
        <v>124</v>
      </c>
      <c r="F82" s="2" t="s">
        <v>502</v>
      </c>
      <c r="G82" s="8" t="s">
        <v>666</v>
      </c>
      <c r="H82" s="8" t="s">
        <v>571</v>
      </c>
      <c r="I82" s="8"/>
      <c r="J82" s="2" t="s">
        <v>685</v>
      </c>
      <c r="K82" s="2">
        <v>2016</v>
      </c>
      <c r="L82" s="42">
        <v>0.23599999999999999</v>
      </c>
      <c r="M82" s="2"/>
      <c r="N82" s="2"/>
      <c r="O82" s="42">
        <f t="shared" si="8"/>
        <v>0.31171428571428572</v>
      </c>
      <c r="P82" s="42">
        <f t="shared" si="9"/>
        <v>0.36219047619047617</v>
      </c>
      <c r="Q82" s="42">
        <f t="shared" si="10"/>
        <v>0.41266666666666668</v>
      </c>
      <c r="R82" s="75">
        <f t="shared" si="11"/>
        <v>0.46314285714285713</v>
      </c>
      <c r="S82" s="75">
        <v>0.501</v>
      </c>
      <c r="T82" s="66" t="s">
        <v>604</v>
      </c>
      <c r="U82" s="2" t="s">
        <v>397</v>
      </c>
      <c r="V82" t="s">
        <v>599</v>
      </c>
      <c r="W82" t="s">
        <v>432</v>
      </c>
      <c r="X82" t="s">
        <v>432</v>
      </c>
      <c r="Y82" t="s">
        <v>432</v>
      </c>
      <c r="Z82" s="3"/>
      <c r="AA82" s="3" t="s">
        <v>494</v>
      </c>
      <c r="AB82" s="3"/>
      <c r="AC82" s="3" t="s">
        <v>494</v>
      </c>
      <c r="AD82" s="2" t="s">
        <v>149</v>
      </c>
    </row>
    <row r="83" spans="1:30" ht="45" x14ac:dyDescent="0.25">
      <c r="A83" s="84" t="s">
        <v>709</v>
      </c>
      <c r="B83" s="76" t="s">
        <v>5</v>
      </c>
      <c r="C83" s="76">
        <v>10</v>
      </c>
      <c r="D83" s="2" t="s">
        <v>123</v>
      </c>
      <c r="E83" s="2" t="s">
        <v>124</v>
      </c>
      <c r="F83" s="2" t="s">
        <v>502</v>
      </c>
      <c r="G83" s="8" t="s">
        <v>741</v>
      </c>
      <c r="H83" s="8" t="s">
        <v>644</v>
      </c>
      <c r="I83" s="8"/>
      <c r="J83" s="2" t="s">
        <v>685</v>
      </c>
      <c r="K83" s="2">
        <v>2016</v>
      </c>
      <c r="L83" s="42">
        <v>0.1104</v>
      </c>
      <c r="M83" s="2"/>
      <c r="N83" s="2"/>
      <c r="O83" s="42">
        <f t="shared" si="8"/>
        <v>0.11197714285714286</v>
      </c>
      <c r="P83" s="42">
        <f t="shared" si="9"/>
        <v>0.11302857142857144</v>
      </c>
      <c r="Q83" s="42">
        <f t="shared" si="10"/>
        <v>0.11408</v>
      </c>
      <c r="R83" s="75">
        <f t="shared" si="11"/>
        <v>0.11513142857142858</v>
      </c>
      <c r="S83" s="75">
        <f>L83*1.05</f>
        <v>0.11592000000000001</v>
      </c>
      <c r="T83" s="70" t="s">
        <v>602</v>
      </c>
      <c r="U83" s="2" t="s">
        <v>397</v>
      </c>
      <c r="V83" t="s">
        <v>599</v>
      </c>
      <c r="Z83" s="3"/>
      <c r="AA83" s="3"/>
      <c r="AB83" s="3"/>
      <c r="AC83" s="3"/>
      <c r="AD83" s="2"/>
    </row>
    <row r="84" spans="1:30" ht="60" hidden="1" x14ac:dyDescent="0.25">
      <c r="A84" s="84"/>
      <c r="B84" s="76" t="s">
        <v>5</v>
      </c>
      <c r="C84" s="76">
        <v>10</v>
      </c>
      <c r="D84" s="2" t="s">
        <v>123</v>
      </c>
      <c r="E84" s="2" t="s">
        <v>124</v>
      </c>
      <c r="F84" s="2" t="s">
        <v>502</v>
      </c>
      <c r="G84" s="8" t="s">
        <v>489</v>
      </c>
      <c r="H84" s="8" t="s">
        <v>378</v>
      </c>
      <c r="I84" s="8" t="s">
        <v>165</v>
      </c>
      <c r="J84" s="2" t="s">
        <v>13</v>
      </c>
      <c r="K84" s="2">
        <v>2018</v>
      </c>
      <c r="L84" s="42">
        <v>0.33300000000000002</v>
      </c>
      <c r="M84" s="2">
        <v>2019</v>
      </c>
      <c r="N84" s="42">
        <v>0.32600000000000001</v>
      </c>
      <c r="O84" s="42"/>
      <c r="P84" s="42"/>
      <c r="Q84" s="42"/>
      <c r="R84" s="5"/>
      <c r="S84" s="5"/>
      <c r="T84" s="2"/>
      <c r="U84" s="2" t="s">
        <v>401</v>
      </c>
      <c r="W84" t="s">
        <v>432</v>
      </c>
      <c r="X84" t="s">
        <v>432</v>
      </c>
      <c r="Y84" t="s">
        <v>455</v>
      </c>
      <c r="AA84" s="3" t="s">
        <v>494</v>
      </c>
      <c r="AC84" s="3" t="s">
        <v>498</v>
      </c>
      <c r="AD84" s="2" t="s">
        <v>149</v>
      </c>
    </row>
    <row r="85" spans="1:30" ht="60" hidden="1" x14ac:dyDescent="0.25">
      <c r="A85" s="84"/>
      <c r="B85" s="76" t="s">
        <v>5</v>
      </c>
      <c r="C85" s="76">
        <v>10</v>
      </c>
      <c r="D85" s="2" t="s">
        <v>123</v>
      </c>
      <c r="E85" s="2" t="s">
        <v>124</v>
      </c>
      <c r="F85" s="2" t="s">
        <v>502</v>
      </c>
      <c r="G85" s="8" t="s">
        <v>618</v>
      </c>
      <c r="H85" s="8" t="s">
        <v>375</v>
      </c>
      <c r="I85" s="8" t="s">
        <v>143</v>
      </c>
      <c r="J85" s="2" t="s">
        <v>28</v>
      </c>
      <c r="K85" s="2">
        <v>2016</v>
      </c>
      <c r="L85" s="42">
        <v>0.19500000000000001</v>
      </c>
      <c r="M85" s="2"/>
      <c r="N85" s="2"/>
      <c r="O85" s="42"/>
      <c r="P85" s="42"/>
      <c r="Q85" s="42"/>
      <c r="R85" s="5"/>
      <c r="S85" s="5"/>
      <c r="T85" s="2"/>
      <c r="U85" s="2" t="s">
        <v>398</v>
      </c>
      <c r="W85" t="s">
        <v>432</v>
      </c>
      <c r="X85" t="s">
        <v>432</v>
      </c>
      <c r="Y85" t="s">
        <v>432</v>
      </c>
      <c r="AA85" s="3" t="s">
        <v>494</v>
      </c>
      <c r="AC85" s="3" t="s">
        <v>498</v>
      </c>
      <c r="AD85" s="2" t="s">
        <v>149</v>
      </c>
    </row>
    <row r="86" spans="1:30" ht="75" hidden="1" x14ac:dyDescent="0.25">
      <c r="A86" s="84"/>
      <c r="B86" s="76" t="s">
        <v>5</v>
      </c>
      <c r="C86" s="76">
        <v>10</v>
      </c>
      <c r="D86" s="2" t="s">
        <v>123</v>
      </c>
      <c r="E86" s="2" t="s">
        <v>124</v>
      </c>
      <c r="F86" s="2" t="s">
        <v>502</v>
      </c>
      <c r="G86" s="8" t="s">
        <v>621</v>
      </c>
      <c r="H86" s="8" t="s">
        <v>620</v>
      </c>
      <c r="I86" s="8" t="s">
        <v>622</v>
      </c>
      <c r="J86" s="2" t="s">
        <v>619</v>
      </c>
      <c r="K86" s="2"/>
      <c r="L86" s="42"/>
      <c r="M86" s="2"/>
      <c r="N86" s="2"/>
      <c r="O86" s="42"/>
      <c r="P86" s="42"/>
      <c r="Q86" s="42"/>
      <c r="R86" s="5"/>
      <c r="S86" s="5"/>
      <c r="T86" s="2"/>
      <c r="U86" s="2"/>
      <c r="AA86" s="3"/>
      <c r="AC86" s="3"/>
      <c r="AD86" s="2"/>
    </row>
    <row r="87" spans="1:30" ht="180" hidden="1" x14ac:dyDescent="0.25">
      <c r="A87" s="84"/>
      <c r="B87" s="76" t="s">
        <v>5</v>
      </c>
      <c r="C87" s="76">
        <v>10</v>
      </c>
      <c r="D87" s="2" t="s">
        <v>123</v>
      </c>
      <c r="E87" s="2" t="s">
        <v>124</v>
      </c>
      <c r="F87" s="2" t="s">
        <v>502</v>
      </c>
      <c r="G87" s="8" t="s">
        <v>93</v>
      </c>
      <c r="H87" s="12"/>
      <c r="I87" s="8" t="s">
        <v>143</v>
      </c>
      <c r="J87" s="2"/>
      <c r="K87" s="2"/>
      <c r="L87" s="2"/>
      <c r="M87" s="2"/>
      <c r="N87" s="2"/>
      <c r="O87" s="42"/>
      <c r="P87" s="42"/>
      <c r="Q87" s="42"/>
      <c r="R87" s="5"/>
      <c r="S87" s="5"/>
      <c r="T87" s="2"/>
      <c r="U87" s="2" t="s">
        <v>351</v>
      </c>
      <c r="W87" s="3"/>
      <c r="X87" s="3"/>
      <c r="Y87" s="3"/>
      <c r="Z87" s="3"/>
      <c r="AA87" s="3" t="s">
        <v>494</v>
      </c>
      <c r="AB87" s="3"/>
      <c r="AC87" s="3" t="s">
        <v>495</v>
      </c>
      <c r="AD87" s="2"/>
    </row>
    <row r="88" spans="1:30" ht="60" hidden="1" x14ac:dyDescent="0.25">
      <c r="A88" s="84"/>
      <c r="B88" s="76" t="s">
        <v>5</v>
      </c>
      <c r="C88" s="76">
        <v>10</v>
      </c>
      <c r="D88" s="2" t="s">
        <v>123</v>
      </c>
      <c r="E88" s="2" t="s">
        <v>124</v>
      </c>
      <c r="F88" s="2" t="s">
        <v>502</v>
      </c>
      <c r="G88" s="8" t="s">
        <v>482</v>
      </c>
      <c r="H88" s="8" t="s">
        <v>357</v>
      </c>
      <c r="I88" s="8" t="s">
        <v>113</v>
      </c>
      <c r="J88" s="2" t="s">
        <v>13</v>
      </c>
      <c r="K88" s="2">
        <v>2018</v>
      </c>
      <c r="L88" s="42">
        <v>0.77400000000000002</v>
      </c>
      <c r="M88" s="2">
        <v>2019</v>
      </c>
      <c r="N88" s="42">
        <v>0.80900000000000005</v>
      </c>
      <c r="O88" s="42"/>
      <c r="P88" s="42"/>
      <c r="Q88" s="42"/>
      <c r="R88" s="5"/>
      <c r="S88" s="5"/>
      <c r="T88" s="2"/>
      <c r="U88" s="2" t="s">
        <v>398</v>
      </c>
      <c r="W88" t="s">
        <v>432</v>
      </c>
      <c r="X88" t="s">
        <v>432</v>
      </c>
      <c r="Y88" t="s">
        <v>432</v>
      </c>
      <c r="AA88" s="3" t="s">
        <v>494</v>
      </c>
      <c r="AC88" s="3" t="s">
        <v>498</v>
      </c>
      <c r="AD88" s="2" t="s">
        <v>149</v>
      </c>
    </row>
    <row r="89" spans="1:30" ht="45" hidden="1" x14ac:dyDescent="0.25">
      <c r="A89" s="84"/>
      <c r="B89" s="76" t="s">
        <v>5</v>
      </c>
      <c r="C89" s="76">
        <v>10</v>
      </c>
      <c r="D89" s="2" t="s">
        <v>123</v>
      </c>
      <c r="E89" s="2" t="s">
        <v>124</v>
      </c>
      <c r="F89" s="2" t="s">
        <v>502</v>
      </c>
      <c r="G89" s="8" t="s">
        <v>535</v>
      </c>
      <c r="H89" s="8" t="s">
        <v>377</v>
      </c>
      <c r="I89" s="8" t="s">
        <v>158</v>
      </c>
      <c r="J89" s="2" t="s">
        <v>13</v>
      </c>
      <c r="K89" s="2">
        <v>2018</v>
      </c>
      <c r="L89" s="28">
        <v>0.62</v>
      </c>
      <c r="M89" s="2">
        <v>2019</v>
      </c>
      <c r="N89" s="42">
        <v>0.59799999999999998</v>
      </c>
      <c r="O89" s="42"/>
      <c r="P89" s="42"/>
      <c r="Q89" s="42"/>
      <c r="R89" s="5"/>
      <c r="S89" s="5"/>
      <c r="T89" s="2"/>
      <c r="U89" s="2" t="s">
        <v>351</v>
      </c>
      <c r="W89" t="s">
        <v>432</v>
      </c>
      <c r="X89" t="s">
        <v>432</v>
      </c>
      <c r="Y89" t="s">
        <v>455</v>
      </c>
      <c r="AA89" s="3" t="s">
        <v>494</v>
      </c>
      <c r="AC89" s="3" t="s">
        <v>498</v>
      </c>
      <c r="AD89" s="2" t="s">
        <v>150</v>
      </c>
    </row>
    <row r="90" spans="1:30" ht="60" hidden="1" x14ac:dyDescent="0.25">
      <c r="A90" s="84"/>
      <c r="B90" s="76" t="s">
        <v>5</v>
      </c>
      <c r="C90" s="76">
        <v>11</v>
      </c>
      <c r="D90" s="2" t="s">
        <v>125</v>
      </c>
      <c r="E90" s="2" t="s">
        <v>126</v>
      </c>
      <c r="F90" s="2" t="s">
        <v>502</v>
      </c>
      <c r="G90" s="8" t="s">
        <v>536</v>
      </c>
      <c r="H90" s="8" t="s">
        <v>379</v>
      </c>
      <c r="I90" s="8" t="s">
        <v>113</v>
      </c>
      <c r="J90" s="2" t="s">
        <v>13</v>
      </c>
      <c r="K90" s="3">
        <v>2018</v>
      </c>
      <c r="L90" s="42">
        <v>4.4999999999999998E-2</v>
      </c>
      <c r="M90" s="2">
        <v>2019</v>
      </c>
      <c r="N90" s="42">
        <v>4.9000000000000002E-2</v>
      </c>
      <c r="O90" s="42"/>
      <c r="P90" s="42"/>
      <c r="Q90" s="42"/>
      <c r="R90" s="5"/>
      <c r="S90" s="5"/>
      <c r="T90" s="2"/>
      <c r="U90" s="2" t="s">
        <v>351</v>
      </c>
      <c r="W90" t="s">
        <v>432</v>
      </c>
      <c r="X90" t="s">
        <v>432</v>
      </c>
      <c r="Y90" t="s">
        <v>455</v>
      </c>
      <c r="AA90" s="3" t="s">
        <v>494</v>
      </c>
      <c r="AC90" s="3" t="s">
        <v>498</v>
      </c>
      <c r="AD90" s="3" t="s">
        <v>149</v>
      </c>
    </row>
    <row r="91" spans="1:30" ht="60" hidden="1" x14ac:dyDescent="0.25">
      <c r="A91" s="84"/>
      <c r="B91" s="76" t="s">
        <v>5</v>
      </c>
      <c r="C91" s="76">
        <v>11</v>
      </c>
      <c r="D91" s="2" t="s">
        <v>125</v>
      </c>
      <c r="E91" s="2" t="s">
        <v>126</v>
      </c>
      <c r="F91" s="2" t="s">
        <v>502</v>
      </c>
      <c r="G91" s="8" t="s">
        <v>537</v>
      </c>
      <c r="H91" s="8" t="s">
        <v>481</v>
      </c>
      <c r="I91" s="8"/>
      <c r="J91" s="2"/>
      <c r="K91" s="3"/>
      <c r="L91" s="2"/>
      <c r="M91" s="2"/>
      <c r="N91" s="2"/>
      <c r="O91" s="42"/>
      <c r="P91" s="42"/>
      <c r="Q91" s="42"/>
      <c r="R91" s="5"/>
      <c r="S91" s="5"/>
      <c r="T91" s="2"/>
      <c r="U91" s="2" t="s">
        <v>401</v>
      </c>
      <c r="W91" s="3"/>
      <c r="X91" s="3"/>
      <c r="Y91" s="3"/>
      <c r="Z91" s="3"/>
      <c r="AA91" s="3" t="s">
        <v>494</v>
      </c>
      <c r="AB91" s="3"/>
      <c r="AC91" s="3" t="s">
        <v>498</v>
      </c>
      <c r="AD91" s="3" t="s">
        <v>150</v>
      </c>
    </row>
    <row r="92" spans="1:30" ht="240" hidden="1" x14ac:dyDescent="0.25">
      <c r="A92" s="84"/>
      <c r="B92" s="76" t="s">
        <v>5</v>
      </c>
      <c r="C92" s="76">
        <v>11</v>
      </c>
      <c r="D92" s="2" t="s">
        <v>125</v>
      </c>
      <c r="E92" s="2" t="s">
        <v>126</v>
      </c>
      <c r="F92" s="2" t="s">
        <v>502</v>
      </c>
      <c r="G92" s="8" t="s">
        <v>166</v>
      </c>
      <c r="H92" s="20" t="s">
        <v>144</v>
      </c>
      <c r="I92" s="8"/>
      <c r="J92" s="2"/>
      <c r="K92" s="3"/>
      <c r="L92" s="2"/>
      <c r="M92" s="2"/>
      <c r="N92" s="2"/>
      <c r="O92" s="42"/>
      <c r="P92" s="42"/>
      <c r="Q92" s="42"/>
      <c r="R92" s="5"/>
      <c r="S92" s="5"/>
      <c r="T92" s="2"/>
      <c r="U92" s="2" t="s">
        <v>455</v>
      </c>
      <c r="W92" s="3"/>
      <c r="X92" s="3"/>
      <c r="Y92" s="3"/>
      <c r="Z92" s="3"/>
      <c r="AA92" s="3" t="s">
        <v>494</v>
      </c>
      <c r="AB92" s="3"/>
      <c r="AC92" s="3" t="s">
        <v>494</v>
      </c>
      <c r="AD92" s="3" t="s">
        <v>150</v>
      </c>
    </row>
    <row r="93" spans="1:30" ht="75" x14ac:dyDescent="0.25">
      <c r="A93" s="84" t="s">
        <v>710</v>
      </c>
      <c r="B93" s="76" t="s">
        <v>5</v>
      </c>
      <c r="C93" s="76">
        <v>11</v>
      </c>
      <c r="D93" s="2" t="s">
        <v>125</v>
      </c>
      <c r="E93" s="2" t="s">
        <v>126</v>
      </c>
      <c r="F93" s="2" t="s">
        <v>502</v>
      </c>
      <c r="G93" s="8" t="s">
        <v>681</v>
      </c>
      <c r="H93" s="8" t="s">
        <v>556</v>
      </c>
      <c r="I93" s="8"/>
      <c r="J93" s="2" t="s">
        <v>569</v>
      </c>
      <c r="K93" s="3">
        <v>2018</v>
      </c>
      <c r="L93" s="2">
        <v>2</v>
      </c>
      <c r="M93" s="2">
        <v>2019</v>
      </c>
      <c r="N93" s="2">
        <v>1</v>
      </c>
      <c r="O93" s="68">
        <v>0</v>
      </c>
      <c r="P93" s="68">
        <v>0</v>
      </c>
      <c r="Q93" s="68">
        <v>0</v>
      </c>
      <c r="R93" s="68">
        <f t="shared" ref="R93:R94" si="12">(($S93-$L93)/21*18)+$L93</f>
        <v>0.28571428571428581</v>
      </c>
      <c r="S93" s="5">
        <v>0</v>
      </c>
      <c r="T93" s="66" t="s">
        <v>598</v>
      </c>
      <c r="U93" s="2" t="s">
        <v>397</v>
      </c>
      <c r="V93" t="s">
        <v>649</v>
      </c>
      <c r="W93" t="s">
        <v>432</v>
      </c>
      <c r="X93" t="s">
        <v>432</v>
      </c>
      <c r="Y93" t="s">
        <v>432</v>
      </c>
      <c r="AA93" s="3" t="s">
        <v>494</v>
      </c>
      <c r="AC93" s="3" t="s">
        <v>494</v>
      </c>
      <c r="AD93" s="3" t="s">
        <v>150</v>
      </c>
    </row>
    <row r="94" spans="1:30" ht="60" x14ac:dyDescent="0.25">
      <c r="A94" s="84" t="s">
        <v>711</v>
      </c>
      <c r="B94" s="76" t="s">
        <v>5</v>
      </c>
      <c r="C94" s="76">
        <v>11</v>
      </c>
      <c r="D94" s="2" t="s">
        <v>125</v>
      </c>
      <c r="E94" s="2" t="s">
        <v>126</v>
      </c>
      <c r="F94" s="2" t="s">
        <v>502</v>
      </c>
      <c r="G94" s="8" t="s">
        <v>667</v>
      </c>
      <c r="H94" s="8" t="s">
        <v>610</v>
      </c>
      <c r="I94" s="8"/>
      <c r="J94" s="2" t="s">
        <v>15</v>
      </c>
      <c r="K94" s="3">
        <v>2018</v>
      </c>
      <c r="L94" s="2">
        <v>0</v>
      </c>
      <c r="M94" s="2"/>
      <c r="N94" s="2"/>
      <c r="O94" s="42">
        <f t="shared" ref="O94" si="13">(($S94-$L94)/21*6)+$L94</f>
        <v>0.2857142857142857</v>
      </c>
      <c r="P94" s="42">
        <f t="shared" ref="P94" si="14">(($S94-$L94)/21*10)+$L94</f>
        <v>0.47619047619047616</v>
      </c>
      <c r="Q94" s="42">
        <f t="shared" ref="Q94" si="15">(($S94-$L94)/21*14)+$L94</f>
        <v>0.66666666666666663</v>
      </c>
      <c r="R94" s="77">
        <f t="shared" si="12"/>
        <v>0.8571428571428571</v>
      </c>
      <c r="S94" s="77">
        <v>1</v>
      </c>
      <c r="T94" s="73" t="s">
        <v>625</v>
      </c>
      <c r="U94" s="2" t="s">
        <v>397</v>
      </c>
      <c r="V94" t="s">
        <v>599</v>
      </c>
      <c r="AA94" s="3"/>
      <c r="AC94" s="3"/>
      <c r="AD94" s="3"/>
    </row>
    <row r="95" spans="1:30" ht="75" hidden="1" x14ac:dyDescent="0.25">
      <c r="A95" s="84"/>
      <c r="B95" s="76" t="s">
        <v>5</v>
      </c>
      <c r="C95" s="76">
        <v>11</v>
      </c>
      <c r="D95" s="2" t="s">
        <v>125</v>
      </c>
      <c r="E95" s="2" t="s">
        <v>126</v>
      </c>
      <c r="F95" s="2" t="s">
        <v>502</v>
      </c>
      <c r="G95" s="8" t="s">
        <v>203</v>
      </c>
      <c r="H95" s="8" t="s">
        <v>557</v>
      </c>
      <c r="I95" s="8"/>
      <c r="J95" s="2" t="s">
        <v>569</v>
      </c>
      <c r="K95" s="3">
        <v>2018</v>
      </c>
      <c r="L95" s="2">
        <v>6</v>
      </c>
      <c r="M95" s="2">
        <v>2019</v>
      </c>
      <c r="N95" s="2">
        <v>13</v>
      </c>
      <c r="O95" s="42"/>
      <c r="P95" s="42"/>
      <c r="Q95" s="42"/>
      <c r="R95" s="5"/>
      <c r="S95" s="5"/>
      <c r="T95" s="2"/>
      <c r="U95" s="2" t="s">
        <v>398</v>
      </c>
      <c r="W95" t="s">
        <v>432</v>
      </c>
      <c r="X95" t="s">
        <v>432</v>
      </c>
      <c r="Y95" t="s">
        <v>432</v>
      </c>
      <c r="AA95" s="3" t="s">
        <v>494</v>
      </c>
      <c r="AC95" s="3" t="s">
        <v>495</v>
      </c>
      <c r="AD95" s="3" t="s">
        <v>150</v>
      </c>
    </row>
    <row r="96" spans="1:30" ht="60" hidden="1" x14ac:dyDescent="0.25">
      <c r="A96" s="84"/>
      <c r="B96" s="76" t="s">
        <v>5</v>
      </c>
      <c r="C96" s="76">
        <v>11</v>
      </c>
      <c r="D96" s="2" t="s">
        <v>125</v>
      </c>
      <c r="E96" s="2" t="s">
        <v>126</v>
      </c>
      <c r="F96" s="2" t="s">
        <v>502</v>
      </c>
      <c r="G96" s="8" t="s">
        <v>558</v>
      </c>
      <c r="H96" s="8" t="s">
        <v>446</v>
      </c>
      <c r="I96" s="8" t="s">
        <v>144</v>
      </c>
      <c r="J96" s="2" t="s">
        <v>15</v>
      </c>
      <c r="K96" s="23"/>
      <c r="L96" s="20"/>
      <c r="M96" s="20"/>
      <c r="N96" s="20"/>
      <c r="O96" s="42"/>
      <c r="P96" s="42"/>
      <c r="Q96" s="42"/>
      <c r="R96" s="5"/>
      <c r="S96" s="5" t="s">
        <v>599</v>
      </c>
      <c r="T96" s="20"/>
      <c r="U96" s="2" t="s">
        <v>398</v>
      </c>
      <c r="W96" t="s">
        <v>432</v>
      </c>
      <c r="X96" t="s">
        <v>432</v>
      </c>
      <c r="Y96" t="s">
        <v>432</v>
      </c>
      <c r="Z96" s="3"/>
      <c r="AA96" s="3" t="s">
        <v>494</v>
      </c>
      <c r="AB96" s="3"/>
      <c r="AC96" s="3" t="s">
        <v>494</v>
      </c>
      <c r="AD96" s="3" t="s">
        <v>150</v>
      </c>
    </row>
    <row r="97" spans="1:30" ht="45" x14ac:dyDescent="0.25">
      <c r="A97" s="84" t="s">
        <v>712</v>
      </c>
      <c r="B97" s="76" t="s">
        <v>5</v>
      </c>
      <c r="C97" s="76">
        <v>12</v>
      </c>
      <c r="D97" s="2" t="s">
        <v>127</v>
      </c>
      <c r="E97" s="2" t="s">
        <v>122</v>
      </c>
      <c r="F97" s="2" t="s">
        <v>205</v>
      </c>
      <c r="G97" s="8" t="s">
        <v>668</v>
      </c>
      <c r="H97" s="8" t="s">
        <v>611</v>
      </c>
      <c r="I97" s="20" t="s">
        <v>144</v>
      </c>
      <c r="J97" s="2" t="s">
        <v>15</v>
      </c>
      <c r="K97" s="2">
        <v>2018</v>
      </c>
      <c r="L97" s="2">
        <f>0/2470</f>
        <v>0</v>
      </c>
      <c r="M97" s="2">
        <v>2019</v>
      </c>
      <c r="N97" s="42">
        <f>1500/2470</f>
        <v>0.60728744939271251</v>
      </c>
      <c r="O97" s="42">
        <f>(($S97-$L97)/21*6)+$L97</f>
        <v>0.2857142857142857</v>
      </c>
      <c r="P97" s="42">
        <f>(($S97-$L97)/21*10)+$L97</f>
        <v>0.47619047619047616</v>
      </c>
      <c r="Q97" s="42">
        <f>(($S97-$L97)/21*14)+$L97</f>
        <v>0.66666666666666663</v>
      </c>
      <c r="R97" s="75">
        <f>(($S97-$L97)/21*18)+$L97</f>
        <v>0.8571428571428571</v>
      </c>
      <c r="S97" s="75">
        <v>1</v>
      </c>
      <c r="T97" s="73" t="s">
        <v>625</v>
      </c>
      <c r="U97" s="2" t="s">
        <v>397</v>
      </c>
      <c r="V97" t="s">
        <v>599</v>
      </c>
      <c r="W97" s="3"/>
      <c r="X97" s="3"/>
      <c r="Y97" s="3"/>
      <c r="Z97" s="3"/>
      <c r="AA97" s="3" t="s">
        <v>494</v>
      </c>
      <c r="AB97" s="3"/>
      <c r="AC97" s="3" t="s">
        <v>495</v>
      </c>
      <c r="AD97" s="2"/>
    </row>
    <row r="98" spans="1:30" ht="60" hidden="1" x14ac:dyDescent="0.25">
      <c r="A98" s="84"/>
      <c r="B98" s="76" t="s">
        <v>5</v>
      </c>
      <c r="C98" s="76">
        <v>12</v>
      </c>
      <c r="D98" s="2" t="s">
        <v>127</v>
      </c>
      <c r="E98" s="2" t="s">
        <v>122</v>
      </c>
      <c r="F98" s="2" t="s">
        <v>205</v>
      </c>
      <c r="G98" s="8" t="s">
        <v>167</v>
      </c>
      <c r="H98" s="20" t="s">
        <v>144</v>
      </c>
      <c r="I98" s="20" t="s">
        <v>144</v>
      </c>
      <c r="J98" s="2" t="s">
        <v>15</v>
      </c>
      <c r="K98" s="2"/>
      <c r="L98" s="2"/>
      <c r="M98" s="2"/>
      <c r="N98" s="2"/>
      <c r="O98" s="42"/>
      <c r="P98" s="42"/>
      <c r="Q98" s="42"/>
      <c r="R98" s="5"/>
      <c r="S98" s="5"/>
      <c r="T98" s="2"/>
      <c r="U98" s="2" t="s">
        <v>398</v>
      </c>
      <c r="W98" s="3"/>
      <c r="X98" s="3"/>
      <c r="Y98" s="3"/>
      <c r="Z98" s="3"/>
      <c r="AA98" s="3" t="s">
        <v>494</v>
      </c>
      <c r="AB98" s="3"/>
      <c r="AC98" s="3" t="s">
        <v>495</v>
      </c>
      <c r="AD98" s="2" t="s">
        <v>149</v>
      </c>
    </row>
    <row r="99" spans="1:30" ht="45" hidden="1" x14ac:dyDescent="0.25">
      <c r="A99" s="84"/>
      <c r="B99" s="76" t="s">
        <v>5</v>
      </c>
      <c r="C99" s="76">
        <v>12</v>
      </c>
      <c r="D99" s="2" t="s">
        <v>127</v>
      </c>
      <c r="E99" s="2" t="s">
        <v>122</v>
      </c>
      <c r="F99" s="2" t="s">
        <v>205</v>
      </c>
      <c r="G99" s="8" t="s">
        <v>380</v>
      </c>
      <c r="H99" s="20" t="s">
        <v>144</v>
      </c>
      <c r="I99" s="20" t="s">
        <v>144</v>
      </c>
      <c r="J99" s="2" t="s">
        <v>15</v>
      </c>
      <c r="K99" s="2"/>
      <c r="L99" s="2"/>
      <c r="M99" s="2"/>
      <c r="N99" s="2"/>
      <c r="O99" s="42"/>
      <c r="P99" s="42"/>
      <c r="Q99" s="42"/>
      <c r="R99" s="5"/>
      <c r="S99" s="5"/>
      <c r="T99" s="2"/>
      <c r="U99" s="2" t="s">
        <v>398</v>
      </c>
      <c r="W99" s="3"/>
      <c r="X99" s="3"/>
      <c r="Y99" s="3"/>
      <c r="Z99" s="3"/>
      <c r="AA99" s="3" t="s">
        <v>494</v>
      </c>
      <c r="AB99" s="3"/>
      <c r="AC99" s="3" t="s">
        <v>494</v>
      </c>
      <c r="AD99" s="2" t="s">
        <v>150</v>
      </c>
    </row>
    <row r="100" spans="1:30" ht="45" x14ac:dyDescent="0.25">
      <c r="A100" s="60" t="s">
        <v>713</v>
      </c>
      <c r="B100" s="60" t="s">
        <v>6</v>
      </c>
      <c r="C100" s="60">
        <v>13</v>
      </c>
      <c r="D100" s="2" t="s">
        <v>128</v>
      </c>
      <c r="E100" s="2" t="s">
        <v>129</v>
      </c>
      <c r="F100" s="2" t="s">
        <v>576</v>
      </c>
      <c r="G100" s="8" t="s">
        <v>669</v>
      </c>
      <c r="H100" s="8" t="s">
        <v>616</v>
      </c>
      <c r="I100" s="8" t="s">
        <v>168</v>
      </c>
      <c r="J100" s="2" t="s">
        <v>15</v>
      </c>
      <c r="K100" s="2">
        <v>2018</v>
      </c>
      <c r="L100" s="31">
        <v>2773</v>
      </c>
      <c r="M100" s="2">
        <v>2019</v>
      </c>
      <c r="N100" s="31">
        <v>1746</v>
      </c>
      <c r="O100" s="31">
        <f t="shared" ref="O100:O101" si="16">(($S100-$L100)/21*6)+$L100</f>
        <v>2020.3285714285714</v>
      </c>
      <c r="P100" s="31">
        <f t="shared" ref="P100:P101" si="17">(($S100-$L100)/21*10)+$L100</f>
        <v>1518.547619047619</v>
      </c>
      <c r="Q100" s="31">
        <f t="shared" ref="Q100:Q101" si="18">(($S100-$L100)/21*14)+$L100</f>
        <v>1016.7666666666667</v>
      </c>
      <c r="R100" s="79">
        <f t="shared" ref="R100:R101" si="19">(($S100-$L100)/21*18)+$L100</f>
        <v>514.98571428571449</v>
      </c>
      <c r="S100" s="79">
        <f>L100*0.05</f>
        <v>138.65</v>
      </c>
      <c r="T100" s="66" t="s">
        <v>604</v>
      </c>
      <c r="U100" s="2" t="s">
        <v>397</v>
      </c>
      <c r="V100" t="s">
        <v>649</v>
      </c>
      <c r="W100" t="s">
        <v>432</v>
      </c>
      <c r="X100" t="s">
        <v>432</v>
      </c>
      <c r="Y100" t="s">
        <v>432</v>
      </c>
      <c r="AA100" s="3" t="s">
        <v>494</v>
      </c>
      <c r="AC100" s="3" t="s">
        <v>494</v>
      </c>
      <c r="AD100" s="2" t="s">
        <v>149</v>
      </c>
    </row>
    <row r="101" spans="1:30" ht="45" x14ac:dyDescent="0.25">
      <c r="A101" s="60" t="s">
        <v>720</v>
      </c>
      <c r="B101" s="60" t="s">
        <v>6</v>
      </c>
      <c r="C101" s="60">
        <v>13</v>
      </c>
      <c r="D101" s="2" t="s">
        <v>128</v>
      </c>
      <c r="E101" s="2" t="s">
        <v>129</v>
      </c>
      <c r="F101" s="2" t="s">
        <v>576</v>
      </c>
      <c r="G101" s="8" t="s">
        <v>670</v>
      </c>
      <c r="H101" s="8" t="s">
        <v>617</v>
      </c>
      <c r="I101" s="8" t="s">
        <v>168</v>
      </c>
      <c r="J101" s="2" t="s">
        <v>15</v>
      </c>
      <c r="K101" s="2">
        <v>2016</v>
      </c>
      <c r="L101" s="31">
        <v>1300000</v>
      </c>
      <c r="M101" s="2"/>
      <c r="N101" s="2"/>
      <c r="O101" s="31">
        <f t="shared" si="16"/>
        <v>928571.42857142852</v>
      </c>
      <c r="P101" s="31">
        <f t="shared" si="17"/>
        <v>680952.38095238095</v>
      </c>
      <c r="Q101" s="31">
        <f t="shared" si="18"/>
        <v>433333.33333333326</v>
      </c>
      <c r="R101" s="31">
        <f t="shared" si="19"/>
        <v>185714.28571428568</v>
      </c>
      <c r="S101" s="5">
        <v>0</v>
      </c>
      <c r="T101" s="66" t="s">
        <v>604</v>
      </c>
      <c r="U101" s="2" t="s">
        <v>397</v>
      </c>
      <c r="V101" t="s">
        <v>649</v>
      </c>
      <c r="W101" t="s">
        <v>432</v>
      </c>
      <c r="X101" t="s">
        <v>432</v>
      </c>
      <c r="Y101" t="s">
        <v>432</v>
      </c>
      <c r="AA101" s="3" t="s">
        <v>494</v>
      </c>
      <c r="AC101" s="3" t="s">
        <v>494</v>
      </c>
      <c r="AD101" s="2"/>
    </row>
    <row r="102" spans="1:30" ht="45" hidden="1" x14ac:dyDescent="0.25">
      <c r="A102" s="60"/>
      <c r="B102" s="60" t="s">
        <v>6</v>
      </c>
      <c r="C102" s="60">
        <v>13</v>
      </c>
      <c r="D102" s="2" t="s">
        <v>128</v>
      </c>
      <c r="E102" s="2" t="s">
        <v>129</v>
      </c>
      <c r="F102" s="2" t="s">
        <v>576</v>
      </c>
      <c r="G102" s="8" t="s">
        <v>559</v>
      </c>
      <c r="H102" s="8" t="s">
        <v>407</v>
      </c>
      <c r="I102" s="8" t="s">
        <v>168</v>
      </c>
      <c r="J102" s="2" t="s">
        <v>15</v>
      </c>
      <c r="K102" s="2"/>
      <c r="L102" s="2"/>
      <c r="M102" s="2"/>
      <c r="N102" s="2"/>
      <c r="O102" s="42"/>
      <c r="P102" s="42"/>
      <c r="Q102" s="42"/>
      <c r="R102" s="5"/>
      <c r="S102" s="5"/>
      <c r="T102" s="2"/>
      <c r="U102" s="2" t="s">
        <v>398</v>
      </c>
      <c r="W102" s="3"/>
      <c r="X102" s="3"/>
      <c r="Y102" s="3"/>
      <c r="Z102" s="3"/>
      <c r="AA102" s="3" t="s">
        <v>494</v>
      </c>
      <c r="AB102" s="3"/>
      <c r="AC102" s="3" t="s">
        <v>494</v>
      </c>
      <c r="AD102" s="2" t="s">
        <v>150</v>
      </c>
    </row>
    <row r="103" spans="1:30" ht="60" hidden="1" x14ac:dyDescent="0.25">
      <c r="A103" s="60"/>
      <c r="B103" s="60" t="s">
        <v>6</v>
      </c>
      <c r="C103" s="60">
        <v>13</v>
      </c>
      <c r="D103" s="2" t="s">
        <v>128</v>
      </c>
      <c r="E103" s="2" t="s">
        <v>129</v>
      </c>
      <c r="F103" s="2" t="s">
        <v>576</v>
      </c>
      <c r="G103" s="8" t="s">
        <v>448</v>
      </c>
      <c r="H103" s="8" t="s">
        <v>408</v>
      </c>
      <c r="I103" s="8" t="s">
        <v>143</v>
      </c>
      <c r="J103" s="5" t="s">
        <v>151</v>
      </c>
      <c r="K103" s="2"/>
      <c r="L103" s="2"/>
      <c r="M103" s="2"/>
      <c r="N103" s="2"/>
      <c r="O103" s="42"/>
      <c r="P103" s="42"/>
      <c r="Q103" s="42"/>
      <c r="R103" s="5"/>
      <c r="S103" s="5"/>
      <c r="T103" s="2"/>
      <c r="U103" s="2" t="s">
        <v>398</v>
      </c>
      <c r="W103" s="3"/>
      <c r="X103" s="3"/>
      <c r="Y103" s="3"/>
      <c r="Z103" s="3"/>
      <c r="AA103" s="3" t="s">
        <v>494</v>
      </c>
      <c r="AB103" s="3"/>
      <c r="AC103" s="3" t="s">
        <v>494</v>
      </c>
      <c r="AD103" s="2"/>
    </row>
    <row r="104" spans="1:30" ht="90" hidden="1" x14ac:dyDescent="0.25">
      <c r="A104" s="60"/>
      <c r="B104" s="60" t="s">
        <v>6</v>
      </c>
      <c r="C104" s="60">
        <v>13</v>
      </c>
      <c r="D104" s="2" t="s">
        <v>128</v>
      </c>
      <c r="E104" s="2" t="s">
        <v>129</v>
      </c>
      <c r="F104" s="2" t="s">
        <v>576</v>
      </c>
      <c r="G104" s="8" t="s">
        <v>560</v>
      </c>
      <c r="H104" s="8" t="s">
        <v>645</v>
      </c>
      <c r="I104" s="8" t="s">
        <v>144</v>
      </c>
      <c r="J104" s="2" t="s">
        <v>169</v>
      </c>
      <c r="K104" s="2"/>
      <c r="L104" s="2"/>
      <c r="M104" s="2"/>
      <c r="N104" s="2"/>
      <c r="O104" s="42"/>
      <c r="P104" s="42"/>
      <c r="Q104" s="42"/>
      <c r="R104" s="5"/>
      <c r="S104" s="5"/>
      <c r="T104" s="2"/>
      <c r="U104" s="2" t="s">
        <v>398</v>
      </c>
      <c r="W104" s="3"/>
      <c r="X104" s="3"/>
      <c r="Y104" s="3"/>
      <c r="Z104" s="3"/>
      <c r="AA104" s="3" t="s">
        <v>494</v>
      </c>
      <c r="AB104" s="3"/>
      <c r="AC104" s="3" t="s">
        <v>494</v>
      </c>
      <c r="AD104" s="2" t="s">
        <v>170</v>
      </c>
    </row>
    <row r="105" spans="1:30" ht="105" hidden="1" x14ac:dyDescent="0.25">
      <c r="A105" s="60"/>
      <c r="B105" s="60" t="s">
        <v>6</v>
      </c>
      <c r="C105" s="60">
        <v>14</v>
      </c>
      <c r="D105" s="2" t="s">
        <v>130</v>
      </c>
      <c r="E105" s="2" t="s">
        <v>131</v>
      </c>
      <c r="F105" s="2" t="s">
        <v>318</v>
      </c>
      <c r="G105" s="8" t="s">
        <v>447</v>
      </c>
      <c r="H105" s="8" t="s">
        <v>406</v>
      </c>
      <c r="I105" s="8" t="s">
        <v>113</v>
      </c>
      <c r="J105" s="2" t="s">
        <v>15</v>
      </c>
      <c r="K105" s="2">
        <v>2018</v>
      </c>
      <c r="L105" s="32">
        <v>1</v>
      </c>
      <c r="M105" s="2"/>
      <c r="N105" s="28"/>
      <c r="O105" s="42"/>
      <c r="P105" s="42"/>
      <c r="Q105" s="42"/>
      <c r="R105" s="5"/>
      <c r="S105" s="5"/>
      <c r="T105" s="2"/>
      <c r="U105" s="2" t="s">
        <v>398</v>
      </c>
      <c r="W105" t="s">
        <v>432</v>
      </c>
      <c r="X105" t="s">
        <v>432</v>
      </c>
      <c r="Y105" t="s">
        <v>432</v>
      </c>
      <c r="AA105" s="3" t="s">
        <v>494</v>
      </c>
      <c r="AC105" s="3" t="s">
        <v>494</v>
      </c>
      <c r="AD105" s="2" t="s">
        <v>149</v>
      </c>
    </row>
    <row r="106" spans="1:30" ht="30" x14ac:dyDescent="0.25">
      <c r="A106" s="60" t="s">
        <v>714</v>
      </c>
      <c r="B106" s="60" t="s">
        <v>6</v>
      </c>
      <c r="C106" s="60">
        <v>14</v>
      </c>
      <c r="D106" s="2" t="s">
        <v>130</v>
      </c>
      <c r="E106" s="2" t="s">
        <v>131</v>
      </c>
      <c r="F106" s="57" t="s">
        <v>570</v>
      </c>
      <c r="G106" s="8" t="s">
        <v>561</v>
      </c>
      <c r="H106" s="8" t="s">
        <v>409</v>
      </c>
      <c r="I106" s="8" t="s">
        <v>113</v>
      </c>
      <c r="J106" s="2" t="s">
        <v>15</v>
      </c>
      <c r="K106" s="2" t="s">
        <v>354</v>
      </c>
      <c r="L106" s="31">
        <v>49917</v>
      </c>
      <c r="M106" s="2" t="s">
        <v>606</v>
      </c>
      <c r="N106" s="31">
        <v>51573</v>
      </c>
      <c r="O106" s="31">
        <f>(($S106-$L106)/21*6)+$L106</f>
        <v>51343.200000000004</v>
      </c>
      <c r="P106" s="31">
        <f>(($S106-$L106)/21*10)+$L106</f>
        <v>52294</v>
      </c>
      <c r="Q106" s="31">
        <f>(($S106-$L106)/21*14)+$L106</f>
        <v>53244.800000000003</v>
      </c>
      <c r="R106" s="31">
        <f>(($S106-$L106)/21*18)+$L106</f>
        <v>54195.600000000006</v>
      </c>
      <c r="S106" s="81">
        <f>L106*1.1</f>
        <v>54908.700000000004</v>
      </c>
      <c r="T106" s="70" t="s">
        <v>609</v>
      </c>
      <c r="U106" s="2" t="s">
        <v>397</v>
      </c>
      <c r="V106" t="s">
        <v>599</v>
      </c>
      <c r="W106" s="3"/>
      <c r="X106" s="3" t="s">
        <v>432</v>
      </c>
      <c r="Y106" s="3" t="s">
        <v>432</v>
      </c>
      <c r="Z106" s="3"/>
      <c r="AA106" s="3" t="s">
        <v>494</v>
      </c>
      <c r="AB106" s="3"/>
      <c r="AC106" s="3" t="s">
        <v>494</v>
      </c>
      <c r="AD106" s="2" t="s">
        <v>150</v>
      </c>
    </row>
    <row r="107" spans="1:30" ht="30" x14ac:dyDescent="0.25">
      <c r="A107" s="60" t="s">
        <v>721</v>
      </c>
      <c r="B107" s="60" t="s">
        <v>6</v>
      </c>
      <c r="C107" s="60">
        <v>14</v>
      </c>
      <c r="D107" s="2" t="s">
        <v>130</v>
      </c>
      <c r="E107" s="2" t="s">
        <v>131</v>
      </c>
      <c r="F107" s="2" t="s">
        <v>318</v>
      </c>
      <c r="G107" s="8" t="s">
        <v>410</v>
      </c>
      <c r="H107" s="8" t="s">
        <v>646</v>
      </c>
      <c r="I107" s="8" t="s">
        <v>168</v>
      </c>
      <c r="J107" s="3" t="s">
        <v>151</v>
      </c>
      <c r="K107" s="2" t="s">
        <v>607</v>
      </c>
      <c r="L107" s="2">
        <v>127</v>
      </c>
      <c r="M107" s="2"/>
      <c r="N107" s="2"/>
      <c r="O107" s="2">
        <f>(($S107-$L107)/21*6)+$L107</f>
        <v>107</v>
      </c>
      <c r="P107" s="68">
        <f>(($S107-$L107)/21*10)+$L107</f>
        <v>93.666666666666657</v>
      </c>
      <c r="Q107" s="68">
        <f>(($S107-$L107)/21*14)+$L107</f>
        <v>80.333333333333329</v>
      </c>
      <c r="R107" s="5">
        <f>(($S107-$L107)/21*18)+$L107</f>
        <v>67</v>
      </c>
      <c r="S107" s="5">
        <v>57</v>
      </c>
      <c r="T107" s="66" t="s">
        <v>608</v>
      </c>
      <c r="U107" s="2" t="s">
        <v>397</v>
      </c>
      <c r="V107" t="s">
        <v>649</v>
      </c>
      <c r="W107" s="3"/>
      <c r="X107" s="3"/>
      <c r="Y107" s="3"/>
      <c r="Z107" s="3"/>
      <c r="AA107" s="3" t="s">
        <v>494</v>
      </c>
      <c r="AB107" s="3"/>
      <c r="AC107" s="3" t="s">
        <v>494</v>
      </c>
      <c r="AD107" s="2"/>
    </row>
    <row r="108" spans="1:30" ht="30" hidden="1" x14ac:dyDescent="0.25">
      <c r="A108" s="60"/>
      <c r="B108" s="60" t="s">
        <v>6</v>
      </c>
      <c r="C108" s="60">
        <v>14</v>
      </c>
      <c r="D108" s="2" t="s">
        <v>130</v>
      </c>
      <c r="E108" s="2" t="s">
        <v>131</v>
      </c>
      <c r="F108" s="2" t="s">
        <v>318</v>
      </c>
      <c r="G108" s="8" t="s">
        <v>538</v>
      </c>
      <c r="H108" s="8" t="s">
        <v>411</v>
      </c>
      <c r="I108" s="8" t="s">
        <v>168</v>
      </c>
      <c r="J108" s="3" t="s">
        <v>151</v>
      </c>
      <c r="K108" s="20"/>
      <c r="L108" s="20"/>
      <c r="M108" s="20"/>
      <c r="N108" s="20"/>
      <c r="O108" s="42"/>
      <c r="P108" s="42"/>
      <c r="Q108" s="42"/>
      <c r="R108" s="5"/>
      <c r="S108" s="5"/>
      <c r="T108" s="20"/>
      <c r="U108" s="2" t="s">
        <v>398</v>
      </c>
      <c r="W108" s="3"/>
      <c r="X108" s="3"/>
      <c r="Y108" s="3" t="s">
        <v>432</v>
      </c>
      <c r="Z108" s="3"/>
      <c r="AA108" s="3" t="s">
        <v>494</v>
      </c>
      <c r="AB108" s="3"/>
      <c r="AC108" s="3" t="s">
        <v>494</v>
      </c>
      <c r="AD108" s="2"/>
    </row>
    <row r="109" spans="1:30" ht="45" hidden="1" x14ac:dyDescent="0.25">
      <c r="A109" s="60"/>
      <c r="B109" s="60" t="s">
        <v>6</v>
      </c>
      <c r="C109" s="60">
        <v>14</v>
      </c>
      <c r="D109" s="2" t="s">
        <v>130</v>
      </c>
      <c r="E109" s="2" t="s">
        <v>131</v>
      </c>
      <c r="F109" s="2" t="s">
        <v>318</v>
      </c>
      <c r="G109" s="8" t="s">
        <v>612</v>
      </c>
      <c r="H109" s="8" t="s">
        <v>613</v>
      </c>
      <c r="I109" s="8" t="s">
        <v>168</v>
      </c>
      <c r="J109" s="3" t="s">
        <v>151</v>
      </c>
      <c r="K109" s="5" t="s">
        <v>607</v>
      </c>
      <c r="L109" s="5">
        <v>150</v>
      </c>
      <c r="M109" s="5"/>
      <c r="N109" s="5"/>
      <c r="O109" s="42"/>
      <c r="P109" s="42"/>
      <c r="Q109" s="42"/>
      <c r="R109" s="5"/>
      <c r="S109" s="5">
        <v>150</v>
      </c>
      <c r="T109" s="66" t="s">
        <v>608</v>
      </c>
      <c r="U109" s="2" t="s">
        <v>398</v>
      </c>
      <c r="Y109" t="s">
        <v>432</v>
      </c>
      <c r="AA109" s="3" t="s">
        <v>494</v>
      </c>
      <c r="AC109" s="3" t="s">
        <v>494</v>
      </c>
      <c r="AD109" s="2"/>
    </row>
    <row r="110" spans="1:30" ht="30" x14ac:dyDescent="0.25">
      <c r="A110" s="60" t="s">
        <v>722</v>
      </c>
      <c r="B110" s="60" t="s">
        <v>6</v>
      </c>
      <c r="C110" s="60">
        <v>14</v>
      </c>
      <c r="D110" s="2" t="s">
        <v>130</v>
      </c>
      <c r="E110" s="2" t="s">
        <v>131</v>
      </c>
      <c r="F110" s="2" t="s">
        <v>318</v>
      </c>
      <c r="G110" s="8" t="s">
        <v>671</v>
      </c>
      <c r="H110" s="8" t="s">
        <v>745</v>
      </c>
      <c r="I110" s="8" t="s">
        <v>168</v>
      </c>
      <c r="J110" s="3" t="s">
        <v>151</v>
      </c>
      <c r="K110" s="5" t="s">
        <v>607</v>
      </c>
      <c r="L110" s="31">
        <v>12000</v>
      </c>
      <c r="M110" s="5"/>
      <c r="N110" s="5"/>
      <c r="O110" s="31">
        <f>(($S110-$L110)/21*6)+$L110</f>
        <v>10485.714285714286</v>
      </c>
      <c r="P110" s="31">
        <f>(($S110-$L110)/21*10)+$L110</f>
        <v>9476.1904761904771</v>
      </c>
      <c r="Q110" s="31">
        <f>(($S110-$L110)/21*14)+$L110</f>
        <v>8466.6666666666661</v>
      </c>
      <c r="R110" s="31">
        <f>(($S110-$L110)/21*18)+$L110</f>
        <v>7457.1428571428569</v>
      </c>
      <c r="S110" s="81">
        <v>6700</v>
      </c>
      <c r="T110" s="66" t="s">
        <v>608</v>
      </c>
      <c r="U110" s="2" t="s">
        <v>397</v>
      </c>
      <c r="V110" t="s">
        <v>649</v>
      </c>
      <c r="Y110" t="s">
        <v>432</v>
      </c>
      <c r="AA110" s="3" t="s">
        <v>494</v>
      </c>
      <c r="AC110" s="3" t="s">
        <v>494</v>
      </c>
      <c r="AD110" s="2"/>
    </row>
    <row r="111" spans="1:30" ht="45" hidden="1" x14ac:dyDescent="0.25">
      <c r="A111" s="60"/>
      <c r="B111" s="60" t="s">
        <v>6</v>
      </c>
      <c r="C111" s="60">
        <v>14</v>
      </c>
      <c r="D111" s="2" t="s">
        <v>130</v>
      </c>
      <c r="E111" s="2" t="s">
        <v>131</v>
      </c>
      <c r="F111" s="2" t="s">
        <v>318</v>
      </c>
      <c r="G111" s="8" t="s">
        <v>562</v>
      </c>
      <c r="H111" s="8" t="s">
        <v>412</v>
      </c>
      <c r="I111" s="8" t="s">
        <v>113</v>
      </c>
      <c r="J111" s="2" t="s">
        <v>15</v>
      </c>
      <c r="K111" s="2"/>
      <c r="L111" s="2"/>
      <c r="M111" s="2"/>
      <c r="N111" s="2"/>
      <c r="O111" s="42"/>
      <c r="P111" s="42"/>
      <c r="Q111" s="42"/>
      <c r="R111" s="5"/>
      <c r="S111" s="5"/>
      <c r="T111" s="2"/>
      <c r="U111" s="2" t="s">
        <v>398</v>
      </c>
      <c r="W111" s="3"/>
      <c r="X111" s="3" t="s">
        <v>432</v>
      </c>
      <c r="Y111" s="3" t="s">
        <v>432</v>
      </c>
      <c r="Z111" s="3"/>
      <c r="AA111" s="3" t="s">
        <v>494</v>
      </c>
      <c r="AB111" s="3"/>
      <c r="AC111" s="3" t="s">
        <v>494</v>
      </c>
      <c r="AD111" s="2" t="s">
        <v>149</v>
      </c>
    </row>
    <row r="112" spans="1:30" ht="45" x14ac:dyDescent="0.25">
      <c r="A112" s="60" t="s">
        <v>723</v>
      </c>
      <c r="B112" s="60" t="s">
        <v>6</v>
      </c>
      <c r="C112" s="60">
        <v>14</v>
      </c>
      <c r="D112" s="2" t="s">
        <v>130</v>
      </c>
      <c r="E112" s="2" t="s">
        <v>131</v>
      </c>
      <c r="F112" s="57" t="s">
        <v>570</v>
      </c>
      <c r="G112" s="8" t="s">
        <v>563</v>
      </c>
      <c r="H112" s="8" t="s">
        <v>382</v>
      </c>
      <c r="I112" s="8" t="s">
        <v>145</v>
      </c>
      <c r="J112" s="2" t="s">
        <v>624</v>
      </c>
      <c r="K112" s="2">
        <v>2018</v>
      </c>
      <c r="L112" s="42">
        <v>0.17</v>
      </c>
      <c r="M112" s="2"/>
      <c r="N112" s="2"/>
      <c r="O112" s="42">
        <f>(($S112-$L112)/21*6)+$L112</f>
        <v>0.20714285714285713</v>
      </c>
      <c r="P112" s="42">
        <f>(($S112-$L112)/21*10)+$L112</f>
        <v>0.23190476190476189</v>
      </c>
      <c r="Q112" s="42">
        <f>(($S112-$L112)/21*14)+$L112</f>
        <v>0.25666666666666665</v>
      </c>
      <c r="R112" s="77">
        <f>(($S112-$L112)/21*18)+$L112</f>
        <v>0.28142857142857142</v>
      </c>
      <c r="S112" s="77">
        <v>0.3</v>
      </c>
      <c r="T112" s="66" t="s">
        <v>604</v>
      </c>
      <c r="U112" s="2" t="s">
        <v>397</v>
      </c>
      <c r="V112" t="s">
        <v>599</v>
      </c>
      <c r="W112" s="3"/>
      <c r="X112" s="3" t="s">
        <v>432</v>
      </c>
      <c r="Y112" s="3" t="s">
        <v>432</v>
      </c>
      <c r="Z112" s="3"/>
      <c r="AA112" s="3" t="s">
        <v>494</v>
      </c>
      <c r="AB112" s="3"/>
      <c r="AC112" s="3" t="s">
        <v>494</v>
      </c>
      <c r="AD112" s="2"/>
    </row>
    <row r="113" spans="1:30" ht="30" hidden="1" x14ac:dyDescent="0.25">
      <c r="A113" s="60"/>
      <c r="B113" s="60" t="s">
        <v>6</v>
      </c>
      <c r="C113" s="60">
        <v>14</v>
      </c>
      <c r="D113" s="2" t="s">
        <v>130</v>
      </c>
      <c r="E113" s="2" t="s">
        <v>131</v>
      </c>
      <c r="F113" s="57" t="s">
        <v>570</v>
      </c>
      <c r="G113" s="8" t="s">
        <v>539</v>
      </c>
      <c r="H113" s="8" t="s">
        <v>449</v>
      </c>
      <c r="I113" s="8" t="s">
        <v>145</v>
      </c>
      <c r="J113" s="2" t="s">
        <v>151</v>
      </c>
      <c r="K113" s="2"/>
      <c r="L113" s="2"/>
      <c r="M113" s="2"/>
      <c r="N113" s="2"/>
      <c r="O113" s="42"/>
      <c r="P113" s="42"/>
      <c r="Q113" s="42"/>
      <c r="R113" s="5"/>
      <c r="S113" s="5"/>
      <c r="T113" s="2"/>
      <c r="U113" s="2" t="s">
        <v>398</v>
      </c>
      <c r="V113" s="2"/>
      <c r="W113" s="3"/>
      <c r="X113" s="3" t="s">
        <v>432</v>
      </c>
      <c r="Y113" s="3" t="s">
        <v>432</v>
      </c>
      <c r="Z113" s="3"/>
      <c r="AA113" s="3" t="s">
        <v>494</v>
      </c>
      <c r="AB113" s="3"/>
      <c r="AC113" s="3" t="s">
        <v>494</v>
      </c>
      <c r="AD113" s="2"/>
    </row>
    <row r="114" spans="1:30" ht="30" x14ac:dyDescent="0.25">
      <c r="A114" s="60" t="s">
        <v>724</v>
      </c>
      <c r="B114" s="60" t="s">
        <v>6</v>
      </c>
      <c r="C114" s="60">
        <v>14</v>
      </c>
      <c r="D114" s="2" t="s">
        <v>130</v>
      </c>
      <c r="E114" s="2" t="s">
        <v>131</v>
      </c>
      <c r="F114" s="2" t="s">
        <v>318</v>
      </c>
      <c r="G114" s="8" t="s">
        <v>413</v>
      </c>
      <c r="H114" s="8" t="s">
        <v>381</v>
      </c>
      <c r="I114" s="8"/>
      <c r="J114" s="3" t="s">
        <v>151</v>
      </c>
      <c r="K114" s="5" t="s">
        <v>607</v>
      </c>
      <c r="L114" s="5">
        <v>39</v>
      </c>
      <c r="M114" s="5"/>
      <c r="N114" s="5"/>
      <c r="O114" s="79">
        <f t="shared" ref="O114:O115" si="20">(($S114-$L114)/21*6)+$L114</f>
        <v>37.857142857142854</v>
      </c>
      <c r="P114" s="79">
        <f t="shared" ref="P114:P115" si="21">(($S114-$L114)/21*10)+$L114</f>
        <v>37.095238095238095</v>
      </c>
      <c r="Q114" s="79">
        <f t="shared" ref="Q114:Q115" si="22">(($S114-$L114)/21*14)+$L114</f>
        <v>36.333333333333336</v>
      </c>
      <c r="R114" s="79">
        <f t="shared" ref="R114:R115" si="23">(($S114-$L114)/21*18)+$L114</f>
        <v>35.571428571428569</v>
      </c>
      <c r="S114" s="5">
        <v>35</v>
      </c>
      <c r="T114" s="66" t="s">
        <v>608</v>
      </c>
      <c r="U114" s="2" t="s">
        <v>397</v>
      </c>
      <c r="V114" t="s">
        <v>649</v>
      </c>
      <c r="W114" s="3"/>
      <c r="X114" s="3" t="s">
        <v>432</v>
      </c>
      <c r="Y114" s="3" t="s">
        <v>432</v>
      </c>
      <c r="Z114" s="3"/>
      <c r="AA114" s="3" t="s">
        <v>494</v>
      </c>
      <c r="AB114" s="3"/>
      <c r="AC114" s="3" t="s">
        <v>494</v>
      </c>
      <c r="AD114" s="2"/>
    </row>
    <row r="115" spans="1:30" ht="75" x14ac:dyDescent="0.25">
      <c r="A115" s="60" t="s">
        <v>715</v>
      </c>
      <c r="B115" s="60" t="s">
        <v>6</v>
      </c>
      <c r="C115" s="60">
        <v>15</v>
      </c>
      <c r="D115" s="2" t="s">
        <v>132</v>
      </c>
      <c r="E115" s="2" t="s">
        <v>133</v>
      </c>
      <c r="F115" s="2" t="s">
        <v>192</v>
      </c>
      <c r="G115" s="8" t="s">
        <v>564</v>
      </c>
      <c r="H115" s="8" t="s">
        <v>383</v>
      </c>
      <c r="I115" s="8" t="s">
        <v>113</v>
      </c>
      <c r="J115" s="2" t="s">
        <v>171</v>
      </c>
      <c r="K115" s="2">
        <v>2018</v>
      </c>
      <c r="L115" s="29">
        <v>0.41670000000000001</v>
      </c>
      <c r="M115" s="2">
        <v>2019</v>
      </c>
      <c r="N115" s="29">
        <v>0.41110000000000002</v>
      </c>
      <c r="O115" s="42">
        <f t="shared" si="20"/>
        <v>0.55478571428571433</v>
      </c>
      <c r="P115" s="42">
        <f t="shared" si="21"/>
        <v>0.64684285714285716</v>
      </c>
      <c r="Q115" s="42">
        <f t="shared" si="22"/>
        <v>0.73890000000000011</v>
      </c>
      <c r="R115" s="77">
        <f t="shared" si="23"/>
        <v>0.83095714285714295</v>
      </c>
      <c r="S115" s="77">
        <v>0.9</v>
      </c>
      <c r="T115" s="66" t="s">
        <v>604</v>
      </c>
      <c r="U115" s="2" t="s">
        <v>397</v>
      </c>
      <c r="V115" t="s">
        <v>599</v>
      </c>
      <c r="W115" t="s">
        <v>432</v>
      </c>
      <c r="X115" t="s">
        <v>432</v>
      </c>
      <c r="Y115" t="s">
        <v>432</v>
      </c>
      <c r="AA115" s="3" t="s">
        <v>494</v>
      </c>
      <c r="AC115" s="3" t="s">
        <v>494</v>
      </c>
      <c r="AD115" s="2" t="s">
        <v>164</v>
      </c>
    </row>
    <row r="116" spans="1:30" ht="150" hidden="1" x14ac:dyDescent="0.25">
      <c r="A116" s="60"/>
      <c r="B116" s="60" t="s">
        <v>6</v>
      </c>
      <c r="C116" s="60">
        <v>15</v>
      </c>
      <c r="D116" s="2" t="s">
        <v>132</v>
      </c>
      <c r="E116" s="2" t="s">
        <v>133</v>
      </c>
      <c r="F116" s="2" t="s">
        <v>192</v>
      </c>
      <c r="G116" s="8" t="s">
        <v>450</v>
      </c>
      <c r="H116" s="8"/>
      <c r="I116" s="8" t="s">
        <v>3</v>
      </c>
      <c r="J116" s="20"/>
      <c r="K116" s="2"/>
      <c r="L116" s="2"/>
      <c r="M116" s="2"/>
      <c r="N116" s="2"/>
      <c r="O116" s="42"/>
      <c r="P116" s="42"/>
      <c r="Q116" s="42"/>
      <c r="R116" s="5"/>
      <c r="S116" s="5"/>
      <c r="T116" s="2"/>
      <c r="U116" s="2" t="s">
        <v>351</v>
      </c>
      <c r="W116" s="3" t="s">
        <v>455</v>
      </c>
      <c r="X116" s="3" t="s">
        <v>455</v>
      </c>
      <c r="Y116" s="3" t="s">
        <v>455</v>
      </c>
      <c r="Z116" s="3"/>
      <c r="AA116" s="3" t="s">
        <v>494</v>
      </c>
      <c r="AB116" s="3"/>
      <c r="AC116" s="3" t="s">
        <v>495</v>
      </c>
      <c r="AD116" s="2"/>
    </row>
    <row r="117" spans="1:30" ht="75" hidden="1" x14ac:dyDescent="0.25">
      <c r="A117" s="60"/>
      <c r="B117" s="60" t="s">
        <v>6</v>
      </c>
      <c r="C117" s="60">
        <v>16</v>
      </c>
      <c r="D117" s="2" t="s">
        <v>134</v>
      </c>
      <c r="E117" s="2" t="s">
        <v>135</v>
      </c>
      <c r="F117" s="2" t="s">
        <v>577</v>
      </c>
      <c r="G117" s="8" t="s">
        <v>565</v>
      </c>
      <c r="H117" s="8" t="s">
        <v>435</v>
      </c>
      <c r="I117" s="8" t="s">
        <v>113</v>
      </c>
      <c r="J117" s="1" t="s">
        <v>434</v>
      </c>
      <c r="K117" s="1">
        <v>2018</v>
      </c>
      <c r="L117" s="31">
        <v>1501</v>
      </c>
      <c r="M117" s="1">
        <v>2019</v>
      </c>
      <c r="N117" s="31">
        <v>1611</v>
      </c>
      <c r="O117" s="42"/>
      <c r="P117" s="42"/>
      <c r="Q117" s="42"/>
      <c r="R117" s="81"/>
      <c r="S117" s="81">
        <f>L117*1.1</f>
        <v>1651.1000000000001</v>
      </c>
      <c r="T117" s="71" t="s">
        <v>609</v>
      </c>
      <c r="U117" s="2" t="s">
        <v>455</v>
      </c>
      <c r="W117" t="s">
        <v>432</v>
      </c>
      <c r="X117" t="s">
        <v>432</v>
      </c>
      <c r="Y117" t="s">
        <v>432</v>
      </c>
      <c r="AA117" s="3" t="s">
        <v>494</v>
      </c>
      <c r="AC117" s="3" t="s">
        <v>494</v>
      </c>
      <c r="AD117" s="1" t="s">
        <v>149</v>
      </c>
    </row>
    <row r="118" spans="1:30" ht="75" hidden="1" x14ac:dyDescent="0.25">
      <c r="A118" s="60"/>
      <c r="B118" s="60" t="s">
        <v>6</v>
      </c>
      <c r="C118" s="60">
        <v>16</v>
      </c>
      <c r="D118" s="2" t="s">
        <v>134</v>
      </c>
      <c r="E118" s="2" t="s">
        <v>135</v>
      </c>
      <c r="F118" s="2" t="s">
        <v>577</v>
      </c>
      <c r="G118" s="20" t="s">
        <v>614</v>
      </c>
      <c r="H118" s="20" t="s">
        <v>615</v>
      </c>
      <c r="I118" s="20"/>
      <c r="J118" s="21"/>
      <c r="K118" s="21"/>
      <c r="L118" s="72"/>
      <c r="M118" s="21"/>
      <c r="N118" s="72"/>
      <c r="O118" s="42"/>
      <c r="P118" s="42"/>
      <c r="Q118" s="42"/>
      <c r="R118" s="81"/>
      <c r="S118" s="81"/>
      <c r="T118" s="69"/>
      <c r="U118" s="2" t="s">
        <v>455</v>
      </c>
      <c r="AA118" s="3"/>
      <c r="AC118" s="3"/>
      <c r="AD118" s="1"/>
    </row>
    <row r="119" spans="1:30" ht="60" x14ac:dyDescent="0.25">
      <c r="A119" s="60" t="s">
        <v>716</v>
      </c>
      <c r="B119" s="60" t="s">
        <v>6</v>
      </c>
      <c r="C119" s="60">
        <v>16</v>
      </c>
      <c r="D119" s="2" t="s">
        <v>134</v>
      </c>
      <c r="E119" s="2" t="s">
        <v>135</v>
      </c>
      <c r="F119" s="2" t="s">
        <v>577</v>
      </c>
      <c r="G119" s="8" t="s">
        <v>672</v>
      </c>
      <c r="H119" s="8" t="s">
        <v>635</v>
      </c>
      <c r="I119" s="8" t="s">
        <v>636</v>
      </c>
      <c r="J119" s="2" t="s">
        <v>399</v>
      </c>
      <c r="K119" s="1"/>
      <c r="L119" s="1"/>
      <c r="M119" s="1"/>
      <c r="N119" s="1"/>
      <c r="O119" s="42">
        <f t="shared" ref="O119:O120" si="24">(($S119-$L119)/21*6)+$L119</f>
        <v>0.21428571428571427</v>
      </c>
      <c r="P119" s="42">
        <f t="shared" ref="P119:P120" si="25">(($S119-$L119)/21*10)+$L119</f>
        <v>0.3571428571428571</v>
      </c>
      <c r="Q119" s="42">
        <f t="shared" ref="Q119:Q120" si="26">(($S119-$L119)/21*14)+$L119</f>
        <v>0.5</v>
      </c>
      <c r="R119" s="75">
        <f t="shared" ref="R119:R120" si="27">(($S119-$L119)/21*18)+$L119</f>
        <v>0.64285714285714279</v>
      </c>
      <c r="S119" s="75">
        <v>0.75</v>
      </c>
      <c r="T119" s="73" t="s">
        <v>634</v>
      </c>
      <c r="U119" s="2" t="s">
        <v>397</v>
      </c>
      <c r="V119" t="s">
        <v>599</v>
      </c>
      <c r="AA119" s="3"/>
      <c r="AC119" s="3"/>
      <c r="AD119" s="1"/>
    </row>
    <row r="120" spans="1:30" ht="60" x14ac:dyDescent="0.25">
      <c r="A120" s="60" t="s">
        <v>725</v>
      </c>
      <c r="B120" s="60" t="s">
        <v>6</v>
      </c>
      <c r="C120" s="60">
        <v>16</v>
      </c>
      <c r="D120" s="2" t="s">
        <v>134</v>
      </c>
      <c r="E120" s="2" t="s">
        <v>135</v>
      </c>
      <c r="F120" s="2" t="s">
        <v>577</v>
      </c>
      <c r="G120" s="8" t="s">
        <v>673</v>
      </c>
      <c r="H120" s="8" t="s">
        <v>637</v>
      </c>
      <c r="I120" s="8" t="s">
        <v>636</v>
      </c>
      <c r="J120" s="2" t="s">
        <v>399</v>
      </c>
      <c r="K120" s="1"/>
      <c r="L120" s="1"/>
      <c r="M120" s="1"/>
      <c r="N120" s="1"/>
      <c r="O120" s="42">
        <f t="shared" si="24"/>
        <v>0.2857142857142857</v>
      </c>
      <c r="P120" s="42">
        <f t="shared" si="25"/>
        <v>0.47619047619047616</v>
      </c>
      <c r="Q120" s="42">
        <f t="shared" si="26"/>
        <v>0.66666666666666663</v>
      </c>
      <c r="R120" s="75">
        <f t="shared" si="27"/>
        <v>0.8571428571428571</v>
      </c>
      <c r="S120" s="75">
        <v>1</v>
      </c>
      <c r="T120" s="73" t="s">
        <v>634</v>
      </c>
      <c r="U120" s="2" t="s">
        <v>397</v>
      </c>
      <c r="V120" t="s">
        <v>599</v>
      </c>
      <c r="AA120" s="3"/>
      <c r="AC120" s="3"/>
      <c r="AD120" s="1"/>
    </row>
    <row r="121" spans="1:30" ht="45" hidden="1" x14ac:dyDescent="0.25">
      <c r="A121" s="61"/>
      <c r="B121" s="61" t="s">
        <v>7</v>
      </c>
      <c r="C121" s="61">
        <v>17</v>
      </c>
      <c r="D121" s="2" t="s">
        <v>136</v>
      </c>
      <c r="E121" s="2" t="s">
        <v>137</v>
      </c>
      <c r="F121" s="2" t="s">
        <v>578</v>
      </c>
      <c r="G121" s="21" t="s">
        <v>144</v>
      </c>
      <c r="H121" s="21" t="s">
        <v>144</v>
      </c>
      <c r="I121" s="21"/>
      <c r="J121" s="21"/>
      <c r="K121" s="21"/>
      <c r="L121" s="2"/>
      <c r="M121" s="2"/>
      <c r="N121" s="2"/>
      <c r="O121" s="42"/>
      <c r="P121" s="42"/>
      <c r="Q121" s="42"/>
      <c r="R121" s="5"/>
      <c r="S121" s="5"/>
      <c r="T121" s="2"/>
      <c r="U121" s="2" t="s">
        <v>398</v>
      </c>
      <c r="W121" s="3"/>
      <c r="X121" s="3"/>
      <c r="Y121" s="3"/>
      <c r="Z121" s="3"/>
      <c r="AA121" s="3"/>
      <c r="AB121" s="3"/>
      <c r="AC121" s="3"/>
      <c r="AD121" s="21"/>
    </row>
    <row r="122" spans="1:30" ht="45" hidden="1" x14ac:dyDescent="0.25">
      <c r="A122" s="61"/>
      <c r="B122" s="61" t="s">
        <v>7</v>
      </c>
      <c r="C122" s="61">
        <v>17</v>
      </c>
      <c r="D122" s="2" t="s">
        <v>136</v>
      </c>
      <c r="E122" s="2" t="s">
        <v>137</v>
      </c>
      <c r="F122" s="2" t="s">
        <v>578</v>
      </c>
      <c r="G122" s="8" t="s">
        <v>567</v>
      </c>
      <c r="H122" s="8" t="s">
        <v>453</v>
      </c>
      <c r="I122" s="8"/>
      <c r="J122" s="2" t="s">
        <v>15</v>
      </c>
      <c r="K122" s="2">
        <v>2018</v>
      </c>
      <c r="L122" s="28">
        <v>0.35</v>
      </c>
      <c r="M122" s="2">
        <v>2019</v>
      </c>
      <c r="N122" s="28">
        <v>0.8</v>
      </c>
      <c r="O122" s="42"/>
      <c r="P122" s="42"/>
      <c r="Q122" s="42"/>
      <c r="R122" s="5"/>
      <c r="S122" s="5"/>
      <c r="T122" s="2"/>
      <c r="U122" s="2" t="s">
        <v>455</v>
      </c>
      <c r="W122" t="s">
        <v>432</v>
      </c>
      <c r="Z122" t="s">
        <v>455</v>
      </c>
      <c r="AA122" s="3" t="s">
        <v>497</v>
      </c>
      <c r="AC122" s="3" t="s">
        <v>494</v>
      </c>
      <c r="AD122" s="2"/>
    </row>
    <row r="123" spans="1:30" ht="105" hidden="1" x14ac:dyDescent="0.25">
      <c r="A123" s="61"/>
      <c r="B123" s="61" t="s">
        <v>7</v>
      </c>
      <c r="C123" s="61">
        <v>18</v>
      </c>
      <c r="D123" s="2" t="s">
        <v>138</v>
      </c>
      <c r="E123" s="2" t="s">
        <v>139</v>
      </c>
      <c r="F123" s="2" t="s">
        <v>579</v>
      </c>
      <c r="G123" s="8" t="s">
        <v>451</v>
      </c>
      <c r="H123" s="8" t="s">
        <v>545</v>
      </c>
      <c r="I123" s="8" t="s">
        <v>113</v>
      </c>
      <c r="J123" s="2" t="s">
        <v>399</v>
      </c>
      <c r="K123" s="2">
        <v>2018</v>
      </c>
      <c r="L123" s="2">
        <v>70</v>
      </c>
      <c r="M123" s="2">
        <v>2019</v>
      </c>
      <c r="N123" s="2">
        <v>68</v>
      </c>
      <c r="O123" s="42"/>
      <c r="P123" s="42"/>
      <c r="Q123" s="42"/>
      <c r="R123" s="5"/>
      <c r="S123" s="5"/>
      <c r="T123" s="2"/>
      <c r="U123" s="2" t="s">
        <v>398</v>
      </c>
      <c r="W123" t="s">
        <v>432</v>
      </c>
      <c r="X123" t="s">
        <v>432</v>
      </c>
      <c r="Y123" t="s">
        <v>432</v>
      </c>
      <c r="AA123" s="3" t="s">
        <v>494</v>
      </c>
      <c r="AC123" s="3" t="s">
        <v>494</v>
      </c>
      <c r="AD123" s="2"/>
    </row>
    <row r="124" spans="1:30" ht="60" x14ac:dyDescent="0.25">
      <c r="A124" s="61" t="s">
        <v>717</v>
      </c>
      <c r="B124" s="61" t="s">
        <v>7</v>
      </c>
      <c r="C124" s="61">
        <v>18</v>
      </c>
      <c r="D124" s="2" t="s">
        <v>138</v>
      </c>
      <c r="E124" s="2" t="s">
        <v>139</v>
      </c>
      <c r="F124" s="2" t="s">
        <v>579</v>
      </c>
      <c r="G124" s="8" t="s">
        <v>674</v>
      </c>
      <c r="H124" s="8" t="s">
        <v>600</v>
      </c>
      <c r="I124" s="8" t="s">
        <v>147</v>
      </c>
      <c r="J124" s="5" t="s">
        <v>151</v>
      </c>
      <c r="K124" s="2">
        <v>2018</v>
      </c>
      <c r="L124" s="47">
        <v>0.75</v>
      </c>
      <c r="M124" s="2">
        <v>2019</v>
      </c>
      <c r="N124" s="28">
        <v>0.8</v>
      </c>
      <c r="O124" s="42">
        <f>(($S124-$L124)/21*6)+$L124</f>
        <v>0.8214285714285714</v>
      </c>
      <c r="P124" s="42">
        <f>(($S124-$L124)/21*10)+$L124</f>
        <v>0.86904761904761907</v>
      </c>
      <c r="Q124" s="42">
        <f>(($S124-$L124)/21*14)+$L124</f>
        <v>0.91666666666666663</v>
      </c>
      <c r="R124" s="77">
        <f>(($S124-$L124)/21*18)+$L124</f>
        <v>0.9642857142857143</v>
      </c>
      <c r="S124" s="77">
        <v>1</v>
      </c>
      <c r="T124" s="66" t="s">
        <v>605</v>
      </c>
      <c r="U124" s="2" t="s">
        <v>397</v>
      </c>
      <c r="V124" t="s">
        <v>599</v>
      </c>
      <c r="W124" t="s">
        <v>432</v>
      </c>
      <c r="AA124" t="s">
        <v>494</v>
      </c>
      <c r="AC124" t="s">
        <v>494</v>
      </c>
      <c r="AD124" s="2" t="s">
        <v>149</v>
      </c>
    </row>
    <row r="125" spans="1:30" ht="75" hidden="1" x14ac:dyDescent="0.25">
      <c r="A125" s="61"/>
      <c r="B125" s="61" t="s">
        <v>7</v>
      </c>
      <c r="C125" s="61">
        <v>18</v>
      </c>
      <c r="D125" s="2" t="s">
        <v>138</v>
      </c>
      <c r="E125" s="62" t="s">
        <v>580</v>
      </c>
      <c r="F125" s="2" t="s">
        <v>579</v>
      </c>
      <c r="G125" s="8" t="s">
        <v>452</v>
      </c>
      <c r="H125" s="8" t="s">
        <v>546</v>
      </c>
      <c r="I125" s="8"/>
      <c r="J125" s="2" t="s">
        <v>399</v>
      </c>
      <c r="K125" s="2">
        <v>2018</v>
      </c>
      <c r="L125" s="2">
        <v>69</v>
      </c>
      <c r="M125" s="2">
        <v>2019</v>
      </c>
      <c r="N125" s="2">
        <v>68</v>
      </c>
      <c r="O125" s="42"/>
      <c r="P125" s="42"/>
      <c r="Q125" s="42"/>
      <c r="R125" s="79"/>
      <c r="S125" s="79">
        <f>L125*1.05</f>
        <v>72.45</v>
      </c>
      <c r="T125" s="64" t="s">
        <v>602</v>
      </c>
      <c r="U125" s="2" t="s">
        <v>398</v>
      </c>
      <c r="W125" t="s">
        <v>432</v>
      </c>
      <c r="X125" t="s">
        <v>432</v>
      </c>
      <c r="Y125" t="s">
        <v>432</v>
      </c>
      <c r="AA125" s="3" t="s">
        <v>494</v>
      </c>
      <c r="AC125" s="3" t="s">
        <v>494</v>
      </c>
      <c r="AD125" s="2"/>
    </row>
    <row r="126" spans="1:30" ht="60" x14ac:dyDescent="0.25">
      <c r="A126" s="61" t="s">
        <v>718</v>
      </c>
      <c r="B126" s="61" t="s">
        <v>7</v>
      </c>
      <c r="C126" s="61">
        <v>19</v>
      </c>
      <c r="D126" s="2" t="s">
        <v>594</v>
      </c>
      <c r="E126" s="2" t="s">
        <v>595</v>
      </c>
      <c r="F126" s="2" t="s">
        <v>540</v>
      </c>
      <c r="G126" s="8" t="s">
        <v>588</v>
      </c>
      <c r="H126" s="8" t="s">
        <v>638</v>
      </c>
      <c r="I126" s="8" t="s">
        <v>113</v>
      </c>
      <c r="J126" s="63" t="s">
        <v>581</v>
      </c>
      <c r="K126" s="5" t="s">
        <v>606</v>
      </c>
      <c r="L126" s="74">
        <f>12/220</f>
        <v>5.4545454545454543E-2</v>
      </c>
      <c r="M126" s="51"/>
      <c r="N126" s="74"/>
      <c r="O126" s="42">
        <f>(($S126-$L126)/21*6)+$L126</f>
        <v>0.32467532467532467</v>
      </c>
      <c r="P126" s="42">
        <f>(($S126-$L126)/21*10)+$L126</f>
        <v>0.50476190476190474</v>
      </c>
      <c r="Q126" s="42">
        <f>(($S126-$L126)/21*14)+$L126</f>
        <v>0.68484848484848482</v>
      </c>
      <c r="R126" s="75">
        <f>(($S126-$L126)/21*18)+$L126</f>
        <v>0.86493506493506489</v>
      </c>
      <c r="S126" s="75">
        <v>1</v>
      </c>
      <c r="T126" s="73" t="s">
        <v>640</v>
      </c>
      <c r="U126" s="2" t="s">
        <v>397</v>
      </c>
      <c r="V126" t="s">
        <v>599</v>
      </c>
      <c r="W126" t="s">
        <v>432</v>
      </c>
      <c r="X126" t="s">
        <v>432</v>
      </c>
      <c r="Y126" t="s">
        <v>432</v>
      </c>
      <c r="AA126" s="3" t="s">
        <v>494</v>
      </c>
      <c r="AC126" s="3" t="s">
        <v>494</v>
      </c>
    </row>
    <row r="127" spans="1:30" ht="60" hidden="1" x14ac:dyDescent="0.25">
      <c r="A127" s="61"/>
      <c r="B127" s="61" t="s">
        <v>7</v>
      </c>
      <c r="C127" s="61">
        <v>20</v>
      </c>
      <c r="D127" s="2" t="s">
        <v>140</v>
      </c>
      <c r="E127" s="2" t="s">
        <v>141</v>
      </c>
      <c r="F127" s="2" t="s">
        <v>540</v>
      </c>
      <c r="G127" s="8" t="s">
        <v>566</v>
      </c>
      <c r="H127" s="8" t="s">
        <v>384</v>
      </c>
      <c r="I127" s="8" t="s">
        <v>143</v>
      </c>
      <c r="J127" s="2" t="s">
        <v>433</v>
      </c>
      <c r="K127" s="2"/>
      <c r="L127" s="2"/>
      <c r="M127" s="2"/>
      <c r="N127" s="2"/>
      <c r="O127" s="42"/>
      <c r="P127" s="42"/>
      <c r="Q127" s="42"/>
      <c r="R127" s="5"/>
      <c r="S127" s="5"/>
      <c r="T127" s="2"/>
      <c r="U127" s="2" t="s">
        <v>398</v>
      </c>
      <c r="W127" s="3"/>
      <c r="X127" s="3" t="s">
        <v>432</v>
      </c>
      <c r="Y127" s="3" t="s">
        <v>432</v>
      </c>
      <c r="Z127" s="3"/>
      <c r="AA127" s="3" t="s">
        <v>494</v>
      </c>
      <c r="AB127" s="3"/>
      <c r="AC127" s="3" t="s">
        <v>494</v>
      </c>
      <c r="AD127" s="2"/>
    </row>
    <row r="128" spans="1:30" ht="60" x14ac:dyDescent="0.25">
      <c r="A128" s="61" t="s">
        <v>726</v>
      </c>
      <c r="B128" s="61" t="s">
        <v>7</v>
      </c>
      <c r="C128" s="61">
        <v>20</v>
      </c>
      <c r="D128" s="2" t="s">
        <v>140</v>
      </c>
      <c r="E128" s="2" t="s">
        <v>141</v>
      </c>
      <c r="F128" s="2" t="s">
        <v>540</v>
      </c>
      <c r="G128" s="8" t="s">
        <v>590</v>
      </c>
      <c r="H128" s="8" t="s">
        <v>414</v>
      </c>
      <c r="I128" s="8"/>
      <c r="J128" s="2" t="s">
        <v>15</v>
      </c>
      <c r="K128" s="2">
        <v>2018</v>
      </c>
      <c r="L128" s="2">
        <v>4.17</v>
      </c>
      <c r="M128" s="3">
        <v>2019</v>
      </c>
      <c r="N128" s="2">
        <v>4.13</v>
      </c>
      <c r="O128" s="46">
        <f>(($S128-$L128)/21*6)+$L128</f>
        <v>4.2295714285714281</v>
      </c>
      <c r="P128" s="46">
        <f>(($S128-$L128)/21*10)+$L128</f>
        <v>4.2692857142857141</v>
      </c>
      <c r="Q128" s="46">
        <f>(($S128-$L128)/21*14)+$L128</f>
        <v>4.3090000000000002</v>
      </c>
      <c r="R128" s="46">
        <f>(($S128-$L128)/21*18)+$L128</f>
        <v>4.3487142857142853</v>
      </c>
      <c r="S128" s="82">
        <f>L128*1.05</f>
        <v>4.3784999999999998</v>
      </c>
      <c r="T128" s="70" t="s">
        <v>602</v>
      </c>
      <c r="U128" s="2" t="s">
        <v>397</v>
      </c>
      <c r="V128" t="s">
        <v>599</v>
      </c>
      <c r="W128" t="s">
        <v>432</v>
      </c>
      <c r="X128" t="s">
        <v>432</v>
      </c>
      <c r="Y128" t="s">
        <v>432</v>
      </c>
      <c r="AA128" s="3" t="s">
        <v>494</v>
      </c>
      <c r="AC128" s="3" t="s">
        <v>494</v>
      </c>
      <c r="AD128" s="2"/>
    </row>
    <row r="129" spans="1:30" ht="60" hidden="1" x14ac:dyDescent="0.25">
      <c r="A129" s="61"/>
      <c r="B129" s="61" t="s">
        <v>7</v>
      </c>
      <c r="C129" s="61">
        <v>20</v>
      </c>
      <c r="D129" s="2" t="s">
        <v>140</v>
      </c>
      <c r="E129" s="2" t="s">
        <v>141</v>
      </c>
      <c r="F129" s="2" t="s">
        <v>540</v>
      </c>
      <c r="G129" s="8" t="s">
        <v>591</v>
      </c>
      <c r="H129" s="8" t="s">
        <v>589</v>
      </c>
      <c r="I129" s="8"/>
      <c r="J129" s="63" t="s">
        <v>581</v>
      </c>
      <c r="K129" s="2">
        <v>2018</v>
      </c>
      <c r="L129" s="2">
        <v>4.17</v>
      </c>
      <c r="M129" s="3">
        <v>2019</v>
      </c>
      <c r="N129" s="2">
        <v>4.13</v>
      </c>
      <c r="O129" s="42"/>
      <c r="P129" s="42"/>
      <c r="Q129" s="42"/>
      <c r="R129" s="5"/>
      <c r="S129" s="5"/>
      <c r="T129" s="2"/>
      <c r="U129" s="2" t="s">
        <v>398</v>
      </c>
      <c r="W129" t="s">
        <v>432</v>
      </c>
      <c r="X129" t="s">
        <v>432</v>
      </c>
      <c r="Y129" t="s">
        <v>432</v>
      </c>
      <c r="AA129" s="3" t="s">
        <v>494</v>
      </c>
      <c r="AC129" s="3" t="s">
        <v>494</v>
      </c>
    </row>
    <row r="130" spans="1:30" ht="60" x14ac:dyDescent="0.25">
      <c r="A130" s="61" t="s">
        <v>719</v>
      </c>
      <c r="B130" s="61" t="s">
        <v>7</v>
      </c>
      <c r="C130" s="61">
        <v>20</v>
      </c>
      <c r="D130" s="2" t="s">
        <v>140</v>
      </c>
      <c r="E130" s="2" t="s">
        <v>141</v>
      </c>
      <c r="F130" s="2" t="s">
        <v>540</v>
      </c>
      <c r="G130" s="8" t="s">
        <v>675</v>
      </c>
      <c r="H130" s="8" t="s">
        <v>385</v>
      </c>
      <c r="I130" s="8" t="s">
        <v>143</v>
      </c>
      <c r="J130" s="2" t="s">
        <v>433</v>
      </c>
      <c r="K130" s="2">
        <v>2018</v>
      </c>
      <c r="L130" s="42">
        <v>0.91119714234399596</v>
      </c>
      <c r="M130" s="2"/>
      <c r="N130" s="2"/>
      <c r="O130" s="42">
        <f>(($S130-$L130)/21*6)+$L130</f>
        <v>0.9222836731028542</v>
      </c>
      <c r="P130" s="42">
        <f>(($S130-$L130)/21*10)+$L130</f>
        <v>0.92967469360875976</v>
      </c>
      <c r="Q130" s="42">
        <f>(($S130-$L130)/21*14)+$L130</f>
        <v>0.93706571411466533</v>
      </c>
      <c r="R130" s="77">
        <f>(($S130-$L130)/21*18)+$L130</f>
        <v>0.94445673462057078</v>
      </c>
      <c r="S130" s="77">
        <v>0.95</v>
      </c>
      <c r="T130" s="66" t="s">
        <v>490</v>
      </c>
      <c r="U130" s="2" t="s">
        <v>397</v>
      </c>
      <c r="V130" t="s">
        <v>599</v>
      </c>
      <c r="W130" s="3"/>
      <c r="X130" s="3" t="s">
        <v>432</v>
      </c>
      <c r="Y130" s="3" t="s">
        <v>432</v>
      </c>
      <c r="Z130" s="3"/>
      <c r="AA130" s="3" t="s">
        <v>494</v>
      </c>
      <c r="AB130" s="3"/>
      <c r="AC130" s="3" t="s">
        <v>494</v>
      </c>
      <c r="AD130" s="2"/>
    </row>
    <row r="131" spans="1:30" ht="60" hidden="1" x14ac:dyDescent="0.25">
      <c r="A131" s="61"/>
      <c r="B131" s="61" t="s">
        <v>7</v>
      </c>
      <c r="C131" s="61">
        <v>20</v>
      </c>
      <c r="D131" s="2" t="s">
        <v>140</v>
      </c>
      <c r="E131" s="2" t="s">
        <v>141</v>
      </c>
      <c r="F131" s="2" t="s">
        <v>540</v>
      </c>
      <c r="G131" s="8" t="s">
        <v>593</v>
      </c>
      <c r="H131" s="8" t="s">
        <v>592</v>
      </c>
      <c r="I131" s="8" t="s">
        <v>143</v>
      </c>
      <c r="J131" s="63"/>
      <c r="K131" s="2"/>
      <c r="L131" s="2"/>
      <c r="M131" s="2"/>
      <c r="N131" s="2"/>
      <c r="O131" s="42"/>
      <c r="P131" s="42"/>
      <c r="Q131" s="42"/>
      <c r="R131" s="77"/>
      <c r="S131" s="77"/>
      <c r="T131" s="2"/>
      <c r="U131" s="2" t="s">
        <v>583</v>
      </c>
      <c r="W131" s="3"/>
      <c r="X131" s="3" t="s">
        <v>432</v>
      </c>
      <c r="Y131" s="3" t="s">
        <v>432</v>
      </c>
      <c r="Z131" s="3"/>
      <c r="AA131" s="3" t="s">
        <v>494</v>
      </c>
      <c r="AB131" s="3"/>
      <c r="AC131" s="3" t="s">
        <v>494</v>
      </c>
    </row>
    <row r="132" spans="1:30" ht="60" x14ac:dyDescent="0.25">
      <c r="A132" s="61" t="s">
        <v>727</v>
      </c>
      <c r="B132" s="61" t="s">
        <v>7</v>
      </c>
      <c r="C132" s="61">
        <v>20</v>
      </c>
      <c r="D132" s="2" t="s">
        <v>140</v>
      </c>
      <c r="E132" s="2" t="s">
        <v>141</v>
      </c>
      <c r="F132" s="2" t="s">
        <v>540</v>
      </c>
      <c r="G132" s="5" t="s">
        <v>584</v>
      </c>
      <c r="H132" s="51" t="s">
        <v>585</v>
      </c>
      <c r="I132" s="5"/>
      <c r="J132" s="5" t="s">
        <v>586</v>
      </c>
      <c r="K132" s="2">
        <v>2011</v>
      </c>
      <c r="L132" s="28">
        <v>0.55000000000000004</v>
      </c>
      <c r="M132" s="2"/>
      <c r="N132" s="28"/>
      <c r="O132" s="42">
        <f>(($S132-$L132)/21*6)+$L132</f>
        <v>0.55785714285714294</v>
      </c>
      <c r="P132" s="42">
        <f>(($S132-$L132)/21*10)+$L132</f>
        <v>0.5630952380952382</v>
      </c>
      <c r="Q132" s="42">
        <f>(($S132-$L132)/21*14)+$L132</f>
        <v>0.56833333333333347</v>
      </c>
      <c r="R132" s="75">
        <f>(($S132-$L132)/21*18)+$L132</f>
        <v>0.57357142857142873</v>
      </c>
      <c r="S132" s="75">
        <f>L132*1.05</f>
        <v>0.57750000000000012</v>
      </c>
      <c r="T132" s="70" t="s">
        <v>602</v>
      </c>
      <c r="U132" s="2" t="s">
        <v>397</v>
      </c>
      <c r="V132" t="s">
        <v>599</v>
      </c>
      <c r="W132" t="s">
        <v>432</v>
      </c>
      <c r="X132" t="s">
        <v>432</v>
      </c>
      <c r="Y132" t="s">
        <v>432</v>
      </c>
      <c r="Z132" t="s">
        <v>455</v>
      </c>
      <c r="AA132" s="3" t="s">
        <v>498</v>
      </c>
      <c r="AC132" s="3" t="s">
        <v>499</v>
      </c>
      <c r="AD132" s="2"/>
    </row>
  </sheetData>
  <autoFilter ref="B1:AD132" xr:uid="{00000000-0009-0000-0000-000000000000}">
    <filterColumn colId="19">
      <filters>
        <filter val="Primary"/>
      </filters>
    </filterColumn>
  </autoFilter>
  <conditionalFormatting sqref="U112:U113 U57 U60:U62 U84:U92 U103 U105 U130 U95:U99 U127:U128 U115:U125 U64:U81 U33:U55 U1:U31">
    <cfRule type="containsText" dxfId="158" priority="179" operator="containsText" text="NO">
      <formula>NOT(ISERROR(SEARCH("NO",U1)))</formula>
    </cfRule>
  </conditionalFormatting>
  <conditionalFormatting sqref="U58:U59">
    <cfRule type="containsText" dxfId="157" priority="178" operator="containsText" text="NO">
      <formula>NOT(ISERROR(SEARCH("NO",U58)))</formula>
    </cfRule>
  </conditionalFormatting>
  <conditionalFormatting sqref="W1">
    <cfRule type="containsText" dxfId="156" priority="177" operator="containsText" text="NO">
      <formula>NOT(ISERROR(SEARCH("NO",W1)))</formula>
    </cfRule>
  </conditionalFormatting>
  <conditionalFormatting sqref="U56">
    <cfRule type="containsText" dxfId="155" priority="176" operator="containsText" text="NO">
      <formula>NOT(ISERROR(SEARCH("NO",U56)))</formula>
    </cfRule>
  </conditionalFormatting>
  <conditionalFormatting sqref="U112:U113 U84:U92 U103 U105 U130 U95:U99 U127:U128 U115:U125 U64:U81 U33:U62 U1:U31">
    <cfRule type="containsText" dxfId="154" priority="174" operator="containsText" text="Secondary">
      <formula>NOT(ISERROR(SEARCH("Secondary",U1)))</formula>
    </cfRule>
    <cfRule type="containsText" dxfId="153" priority="175" operator="containsText" text="Primary">
      <formula>NOT(ISERROR(SEARCH("Primary",U1)))</formula>
    </cfRule>
  </conditionalFormatting>
  <conditionalFormatting sqref="U93:U94">
    <cfRule type="containsText" dxfId="152" priority="173" operator="containsText" text="NO">
      <formula>NOT(ISERROR(SEARCH("NO",U93)))</formula>
    </cfRule>
  </conditionalFormatting>
  <conditionalFormatting sqref="U93:U94">
    <cfRule type="containsText" dxfId="151" priority="171" operator="containsText" text="Secondary">
      <formula>NOT(ISERROR(SEARCH("Secondary",U93)))</formula>
    </cfRule>
    <cfRule type="containsText" dxfId="150" priority="172" operator="containsText" text="Primary">
      <formula>NOT(ISERROR(SEARCH("Primary",U93)))</formula>
    </cfRule>
  </conditionalFormatting>
  <conditionalFormatting sqref="U100">
    <cfRule type="containsText" dxfId="149" priority="170" operator="containsText" text="NO">
      <formula>NOT(ISERROR(SEARCH("NO",U100)))</formula>
    </cfRule>
  </conditionalFormatting>
  <conditionalFormatting sqref="U100">
    <cfRule type="containsText" dxfId="148" priority="168" operator="containsText" text="Secondary">
      <formula>NOT(ISERROR(SEARCH("Secondary",U100)))</formula>
    </cfRule>
    <cfRule type="containsText" dxfId="147" priority="169" operator="containsText" text="Primary">
      <formula>NOT(ISERROR(SEARCH("Primary",U100)))</formula>
    </cfRule>
  </conditionalFormatting>
  <conditionalFormatting sqref="U102">
    <cfRule type="containsText" dxfId="146" priority="167" operator="containsText" text="NO">
      <formula>NOT(ISERROR(SEARCH("NO",U102)))</formula>
    </cfRule>
  </conditionalFormatting>
  <conditionalFormatting sqref="U102">
    <cfRule type="containsText" dxfId="145" priority="165" operator="containsText" text="Secondary">
      <formula>NOT(ISERROR(SEARCH("Secondary",U102)))</formula>
    </cfRule>
    <cfRule type="containsText" dxfId="144" priority="166" operator="containsText" text="Primary">
      <formula>NOT(ISERROR(SEARCH("Primary",U102)))</formula>
    </cfRule>
  </conditionalFormatting>
  <conditionalFormatting sqref="U107">
    <cfRule type="containsText" dxfId="143" priority="158" operator="containsText" text="NO">
      <formula>NOT(ISERROR(SEARCH("NO",U107)))</formula>
    </cfRule>
  </conditionalFormatting>
  <conditionalFormatting sqref="U107">
    <cfRule type="containsText" dxfId="142" priority="156" operator="containsText" text="Secondary">
      <formula>NOT(ISERROR(SEARCH("Secondary",U107)))</formula>
    </cfRule>
    <cfRule type="containsText" dxfId="141" priority="157" operator="containsText" text="Primary">
      <formula>NOT(ISERROR(SEARCH("Primary",U107)))</formula>
    </cfRule>
  </conditionalFormatting>
  <conditionalFormatting sqref="U104">
    <cfRule type="containsText" dxfId="140" priority="164" operator="containsText" text="NO">
      <formula>NOT(ISERROR(SEARCH("NO",U104)))</formula>
    </cfRule>
  </conditionalFormatting>
  <conditionalFormatting sqref="U104">
    <cfRule type="containsText" dxfId="139" priority="162" operator="containsText" text="Secondary">
      <formula>NOT(ISERROR(SEARCH("Secondary",U104)))</formula>
    </cfRule>
    <cfRule type="containsText" dxfId="138" priority="163" operator="containsText" text="Primary">
      <formula>NOT(ISERROR(SEARCH("Primary",U104)))</formula>
    </cfRule>
  </conditionalFormatting>
  <conditionalFormatting sqref="U106">
    <cfRule type="containsText" dxfId="137" priority="161" operator="containsText" text="NO">
      <formula>NOT(ISERROR(SEARCH("NO",U106)))</formula>
    </cfRule>
  </conditionalFormatting>
  <conditionalFormatting sqref="U106">
    <cfRule type="containsText" dxfId="136" priority="159" operator="containsText" text="Secondary">
      <formula>NOT(ISERROR(SEARCH("Secondary",U106)))</formula>
    </cfRule>
    <cfRule type="containsText" dxfId="135" priority="160" operator="containsText" text="Primary">
      <formula>NOT(ISERROR(SEARCH("Primary",U106)))</formula>
    </cfRule>
  </conditionalFormatting>
  <conditionalFormatting sqref="U108:U109">
    <cfRule type="containsText" dxfId="134" priority="155" operator="containsText" text="NO">
      <formula>NOT(ISERROR(SEARCH("NO",U108)))</formula>
    </cfRule>
  </conditionalFormatting>
  <conditionalFormatting sqref="U108:U109">
    <cfRule type="containsText" dxfId="133" priority="153" operator="containsText" text="Secondary">
      <formula>NOT(ISERROR(SEARCH("Secondary",U108)))</formula>
    </cfRule>
    <cfRule type="containsText" dxfId="132" priority="154" operator="containsText" text="Primary">
      <formula>NOT(ISERROR(SEARCH("Primary",U108)))</formula>
    </cfRule>
  </conditionalFormatting>
  <conditionalFormatting sqref="U110">
    <cfRule type="containsText" dxfId="131" priority="152" operator="containsText" text="NO">
      <formula>NOT(ISERROR(SEARCH("NO",U110)))</formula>
    </cfRule>
  </conditionalFormatting>
  <conditionalFormatting sqref="U110">
    <cfRule type="containsText" dxfId="130" priority="150" operator="containsText" text="Secondary">
      <formula>NOT(ISERROR(SEARCH("Secondary",U110)))</formula>
    </cfRule>
    <cfRule type="containsText" dxfId="129" priority="151" operator="containsText" text="Primary">
      <formula>NOT(ISERROR(SEARCH("Primary",U110)))</formula>
    </cfRule>
  </conditionalFormatting>
  <conditionalFormatting sqref="U111">
    <cfRule type="containsText" dxfId="128" priority="149" operator="containsText" text="NO">
      <formula>NOT(ISERROR(SEARCH("NO",U111)))</formula>
    </cfRule>
  </conditionalFormatting>
  <conditionalFormatting sqref="U111">
    <cfRule type="containsText" dxfId="127" priority="147" operator="containsText" text="Secondary">
      <formula>NOT(ISERROR(SEARCH("Secondary",U111)))</formula>
    </cfRule>
    <cfRule type="containsText" dxfId="126" priority="148" operator="containsText" text="Primary">
      <formula>NOT(ISERROR(SEARCH("Primary",U111)))</formula>
    </cfRule>
  </conditionalFormatting>
  <conditionalFormatting sqref="U114">
    <cfRule type="containsText" dxfId="125" priority="146" operator="containsText" text="NO">
      <formula>NOT(ISERROR(SEARCH("NO",U114)))</formula>
    </cfRule>
  </conditionalFormatting>
  <conditionalFormatting sqref="U114">
    <cfRule type="containsText" dxfId="124" priority="144" operator="containsText" text="Secondary">
      <formula>NOT(ISERROR(SEARCH("Secondary",U114)))</formula>
    </cfRule>
    <cfRule type="containsText" dxfId="123" priority="145" operator="containsText" text="Primary">
      <formula>NOT(ISERROR(SEARCH("Primary",U114)))</formula>
    </cfRule>
  </conditionalFormatting>
  <conditionalFormatting sqref="X1:AB1">
    <cfRule type="containsText" dxfId="122" priority="143" operator="containsText" text="NO">
      <formula>NOT(ISERROR(SEARCH("NO",X1)))</formula>
    </cfRule>
  </conditionalFormatting>
  <conditionalFormatting sqref="W33:Z37 W38:Y38 W1:AB1 AB33:AB40 W130:Z130 AB130 W121:Z125 AB121:AB125 AB127:AB128 W127:Z128 W64:Z81 AB64:AB81 AB43:AB62 W39:Z62 W84:Z100 AB84:AB100 W102:Z118 AB102:AB118 AB2:AB31 W2:Z31">
    <cfRule type="containsText" dxfId="121" priority="141" operator="containsText" text="No">
      <formula>NOT(ISERROR(SEARCH("No",W1)))</formula>
    </cfRule>
    <cfRule type="containsText" dxfId="120" priority="142" operator="containsText" text="Yes">
      <formula>NOT(ISERROR(SEARCH("Yes",W1)))</formula>
    </cfRule>
  </conditionalFormatting>
  <conditionalFormatting sqref="X1:AB1">
    <cfRule type="containsText" dxfId="119" priority="140" operator="containsText" text="NO">
      <formula>NOT(ISERROR(SEARCH("NO",X1)))</formula>
    </cfRule>
  </conditionalFormatting>
  <conditionalFormatting sqref="U32">
    <cfRule type="containsText" dxfId="118" priority="139" operator="containsText" text="NO">
      <formula>NOT(ISERROR(SEARCH("NO",U32)))</formula>
    </cfRule>
  </conditionalFormatting>
  <conditionalFormatting sqref="U32">
    <cfRule type="containsText" dxfId="117" priority="137" operator="containsText" text="Secondary">
      <formula>NOT(ISERROR(SEARCH("Secondary",U32)))</formula>
    </cfRule>
    <cfRule type="containsText" dxfId="116" priority="138" operator="containsText" text="Primary">
      <formula>NOT(ISERROR(SEARCH("Primary",U32)))</formula>
    </cfRule>
  </conditionalFormatting>
  <conditionalFormatting sqref="W32:Z32 AB32">
    <cfRule type="containsText" dxfId="115" priority="135" operator="containsText" text="No">
      <formula>NOT(ISERROR(SEARCH("No",W32)))</formula>
    </cfRule>
    <cfRule type="containsText" dxfId="114" priority="136" operator="containsText" text="Yes">
      <formula>NOT(ISERROR(SEARCH("Yes",W32)))</formula>
    </cfRule>
  </conditionalFormatting>
  <conditionalFormatting sqref="AA130 AA121:AA125 AC124 AA127:AA128 AC64:AC81 AA64:AA81 AA43:AA62 AC43:AC62 AC84:AC100 AA84:AA100 AC102:AC118 AA102:AA118 AC2:AC40 AA2:AA40">
    <cfRule type="containsText" dxfId="113" priority="132" operator="containsText" text="Low">
      <formula>NOT(ISERROR(SEARCH("Low",AA2)))</formula>
    </cfRule>
    <cfRule type="containsText" dxfId="112" priority="133" operator="containsText" text="Medium">
      <formula>NOT(ISERROR(SEARCH("Medium",AA2)))</formula>
    </cfRule>
    <cfRule type="containsText" dxfId="111" priority="134" operator="containsText" text="High">
      <formula>NOT(ISERROR(SEARCH("High",AA2)))</formula>
    </cfRule>
  </conditionalFormatting>
  <conditionalFormatting sqref="AB41">
    <cfRule type="containsText" dxfId="110" priority="130" operator="containsText" text="No">
      <formula>NOT(ISERROR(SEARCH("No",AB41)))</formula>
    </cfRule>
    <cfRule type="containsText" dxfId="109" priority="131" operator="containsText" text="Yes">
      <formula>NOT(ISERROR(SEARCH("Yes",AB41)))</formula>
    </cfRule>
  </conditionalFormatting>
  <conditionalFormatting sqref="AA41">
    <cfRule type="containsText" dxfId="108" priority="127" operator="containsText" text="Low">
      <formula>NOT(ISERROR(SEARCH("Low",AA41)))</formula>
    </cfRule>
    <cfRule type="containsText" dxfId="107" priority="128" operator="containsText" text="Medium">
      <formula>NOT(ISERROR(SEARCH("Medium",AA41)))</formula>
    </cfRule>
    <cfRule type="containsText" dxfId="106" priority="129" operator="containsText" text="High">
      <formula>NOT(ISERROR(SEARCH("High",AA41)))</formula>
    </cfRule>
  </conditionalFormatting>
  <conditionalFormatting sqref="AB42">
    <cfRule type="containsText" dxfId="105" priority="125" operator="containsText" text="No">
      <formula>NOT(ISERROR(SEARCH("No",AB42)))</formula>
    </cfRule>
    <cfRule type="containsText" dxfId="104" priority="126" operator="containsText" text="Yes">
      <formula>NOT(ISERROR(SEARCH("Yes",AB42)))</formula>
    </cfRule>
  </conditionalFormatting>
  <conditionalFormatting sqref="AA42">
    <cfRule type="containsText" dxfId="103" priority="122" operator="containsText" text="Low">
      <formula>NOT(ISERROR(SEARCH("Low",AA42)))</formula>
    </cfRule>
    <cfRule type="containsText" dxfId="102" priority="123" operator="containsText" text="Medium">
      <formula>NOT(ISERROR(SEARCH("Medium",AA42)))</formula>
    </cfRule>
    <cfRule type="containsText" dxfId="101" priority="124" operator="containsText" text="High">
      <formula>NOT(ISERROR(SEARCH("High",AA42)))</formula>
    </cfRule>
  </conditionalFormatting>
  <conditionalFormatting sqref="AC1">
    <cfRule type="containsText" dxfId="100" priority="121" operator="containsText" text="NO">
      <formula>NOT(ISERROR(SEARCH("NO",AC1)))</formula>
    </cfRule>
  </conditionalFormatting>
  <conditionalFormatting sqref="AC1">
    <cfRule type="containsText" dxfId="99" priority="119" operator="containsText" text="No">
      <formula>NOT(ISERROR(SEARCH("No",AC1)))</formula>
    </cfRule>
    <cfRule type="containsText" dxfId="98" priority="120" operator="containsText" text="Yes">
      <formula>NOT(ISERROR(SEARCH("Yes",AC1)))</formula>
    </cfRule>
  </conditionalFormatting>
  <conditionalFormatting sqref="AC1">
    <cfRule type="containsText" dxfId="97" priority="118" operator="containsText" text="NO">
      <formula>NOT(ISERROR(SEARCH("NO",AC1)))</formula>
    </cfRule>
  </conditionalFormatting>
  <conditionalFormatting sqref="AC121:AC123 AC130 AC125 AC127:AC128">
    <cfRule type="containsText" dxfId="96" priority="115" operator="containsText" text="Low">
      <formula>NOT(ISERROR(SEARCH("Low",AC121)))</formula>
    </cfRule>
    <cfRule type="containsText" dxfId="95" priority="116" operator="containsText" text="Medium">
      <formula>NOT(ISERROR(SEARCH("Medium",AC121)))</formula>
    </cfRule>
    <cfRule type="containsText" dxfId="94" priority="117" operator="containsText" text="High">
      <formula>NOT(ISERROR(SEARCH("High",AC121)))</formula>
    </cfRule>
  </conditionalFormatting>
  <conditionalFormatting sqref="AC41">
    <cfRule type="containsText" dxfId="93" priority="112" operator="containsText" text="Low">
      <formula>NOT(ISERROR(SEARCH("Low",AC41)))</formula>
    </cfRule>
    <cfRule type="containsText" dxfId="92" priority="113" operator="containsText" text="Medium">
      <formula>NOT(ISERROR(SEARCH("Medium",AC41)))</formula>
    </cfRule>
    <cfRule type="containsText" dxfId="91" priority="114" operator="containsText" text="High">
      <formula>NOT(ISERROR(SEARCH("High",AC41)))</formula>
    </cfRule>
  </conditionalFormatting>
  <conditionalFormatting sqref="AC42">
    <cfRule type="containsText" dxfId="90" priority="109" operator="containsText" text="Low">
      <formula>NOT(ISERROR(SEARCH("Low",AC42)))</formula>
    </cfRule>
    <cfRule type="containsText" dxfId="89" priority="110" operator="containsText" text="Medium">
      <formula>NOT(ISERROR(SEARCH("Medium",AC42)))</formula>
    </cfRule>
    <cfRule type="containsText" dxfId="88" priority="111" operator="containsText" text="High">
      <formula>NOT(ISERROR(SEARCH("High",AC42)))</formula>
    </cfRule>
  </conditionalFormatting>
  <conditionalFormatting sqref="W120:Z120 AB120">
    <cfRule type="containsText" dxfId="87" priority="107" operator="containsText" text="No">
      <formula>NOT(ISERROR(SEARCH("No",W120)))</formula>
    </cfRule>
    <cfRule type="containsText" dxfId="86" priority="108" operator="containsText" text="Yes">
      <formula>NOT(ISERROR(SEARCH("Yes",W120)))</formula>
    </cfRule>
  </conditionalFormatting>
  <conditionalFormatting sqref="AA120">
    <cfRule type="containsText" dxfId="85" priority="104" operator="containsText" text="Low">
      <formula>NOT(ISERROR(SEARCH("Low",AA120)))</formula>
    </cfRule>
    <cfRule type="containsText" dxfId="84" priority="105" operator="containsText" text="Medium">
      <formula>NOT(ISERROR(SEARCH("Medium",AA120)))</formula>
    </cfRule>
    <cfRule type="containsText" dxfId="83" priority="106" operator="containsText" text="High">
      <formula>NOT(ISERROR(SEARCH("High",AA120)))</formula>
    </cfRule>
  </conditionalFormatting>
  <conditionalFormatting sqref="AC120">
    <cfRule type="containsText" dxfId="82" priority="101" operator="containsText" text="Low">
      <formula>NOT(ISERROR(SEARCH("Low",AC120)))</formula>
    </cfRule>
    <cfRule type="containsText" dxfId="81" priority="102" operator="containsText" text="Medium">
      <formula>NOT(ISERROR(SEARCH("Medium",AC120)))</formula>
    </cfRule>
    <cfRule type="containsText" dxfId="80" priority="103" operator="containsText" text="High">
      <formula>NOT(ISERROR(SEARCH("High",AC120)))</formula>
    </cfRule>
  </conditionalFormatting>
  <conditionalFormatting sqref="W119:Z119 AB119">
    <cfRule type="containsText" dxfId="79" priority="99" operator="containsText" text="No">
      <formula>NOT(ISERROR(SEARCH("No",W119)))</formula>
    </cfRule>
    <cfRule type="containsText" dxfId="78" priority="100" operator="containsText" text="Yes">
      <formula>NOT(ISERROR(SEARCH("Yes",W119)))</formula>
    </cfRule>
  </conditionalFormatting>
  <conditionalFormatting sqref="AA119">
    <cfRule type="containsText" dxfId="77" priority="96" operator="containsText" text="Low">
      <formula>NOT(ISERROR(SEARCH("Low",AA119)))</formula>
    </cfRule>
    <cfRule type="containsText" dxfId="76" priority="97" operator="containsText" text="Medium">
      <formula>NOT(ISERROR(SEARCH("Medium",AA119)))</formula>
    </cfRule>
    <cfRule type="containsText" dxfId="75" priority="98" operator="containsText" text="High">
      <formula>NOT(ISERROR(SEARCH("High",AA119)))</formula>
    </cfRule>
  </conditionalFormatting>
  <conditionalFormatting sqref="AC119">
    <cfRule type="containsText" dxfId="74" priority="93" operator="containsText" text="Low">
      <formula>NOT(ISERROR(SEARCH("Low",AC119)))</formula>
    </cfRule>
    <cfRule type="containsText" dxfId="73" priority="94" operator="containsText" text="Medium">
      <formula>NOT(ISERROR(SEARCH("Medium",AC119)))</formula>
    </cfRule>
    <cfRule type="containsText" dxfId="72" priority="95" operator="containsText" text="High">
      <formula>NOT(ISERROR(SEARCH("High",AC119)))</formula>
    </cfRule>
  </conditionalFormatting>
  <conditionalFormatting sqref="U101">
    <cfRule type="containsText" dxfId="71" priority="92" operator="containsText" text="NO">
      <formula>NOT(ISERROR(SEARCH("NO",U101)))</formula>
    </cfRule>
  </conditionalFormatting>
  <conditionalFormatting sqref="U101">
    <cfRule type="containsText" dxfId="70" priority="90" operator="containsText" text="Secondary">
      <formula>NOT(ISERROR(SEARCH("Secondary",U101)))</formula>
    </cfRule>
    <cfRule type="containsText" dxfId="69" priority="91" operator="containsText" text="Primary">
      <formula>NOT(ISERROR(SEARCH("Primary",U101)))</formula>
    </cfRule>
  </conditionalFormatting>
  <conditionalFormatting sqref="AB101 W101:Z101">
    <cfRule type="containsText" dxfId="68" priority="88" operator="containsText" text="No">
      <formula>NOT(ISERROR(SEARCH("No",W101)))</formula>
    </cfRule>
    <cfRule type="containsText" dxfId="67" priority="89" operator="containsText" text="Yes">
      <formula>NOT(ISERROR(SEARCH("Yes",W101)))</formula>
    </cfRule>
  </conditionalFormatting>
  <conditionalFormatting sqref="AA101 AC101">
    <cfRule type="containsText" dxfId="66" priority="85" operator="containsText" text="Low">
      <formula>NOT(ISERROR(SEARCH("Low",AA101)))</formula>
    </cfRule>
    <cfRule type="containsText" dxfId="65" priority="86" operator="containsText" text="Medium">
      <formula>NOT(ISERROR(SEARCH("Medium",AA101)))</formula>
    </cfRule>
    <cfRule type="containsText" dxfId="64" priority="87" operator="containsText" text="High">
      <formula>NOT(ISERROR(SEARCH("High",AA101)))</formula>
    </cfRule>
  </conditionalFormatting>
  <conditionalFormatting sqref="U82:U83">
    <cfRule type="containsText" dxfId="63" priority="84" operator="containsText" text="NO">
      <formula>NOT(ISERROR(SEARCH("NO",U82)))</formula>
    </cfRule>
  </conditionalFormatting>
  <conditionalFormatting sqref="U82:U83">
    <cfRule type="containsText" dxfId="62" priority="82" operator="containsText" text="Secondary">
      <formula>NOT(ISERROR(SEARCH("Secondary",U82)))</formula>
    </cfRule>
    <cfRule type="containsText" dxfId="61" priority="83" operator="containsText" text="Primary">
      <formula>NOT(ISERROR(SEARCH("Primary",U82)))</formula>
    </cfRule>
  </conditionalFormatting>
  <conditionalFormatting sqref="AB82:AB83 Z82:Z83">
    <cfRule type="containsText" dxfId="60" priority="80" operator="containsText" text="No">
      <formula>NOT(ISERROR(SEARCH("No",Z82)))</formula>
    </cfRule>
    <cfRule type="containsText" dxfId="59" priority="81" operator="containsText" text="Yes">
      <formula>NOT(ISERROR(SEARCH("Yes",Z82)))</formula>
    </cfRule>
  </conditionalFormatting>
  <conditionalFormatting sqref="AA82:AA83 AC82:AC83">
    <cfRule type="containsText" dxfId="58" priority="77" operator="containsText" text="Low">
      <formula>NOT(ISERROR(SEARCH("Low",AA82)))</formula>
    </cfRule>
    <cfRule type="containsText" dxfId="57" priority="78" operator="containsText" text="Medium">
      <formula>NOT(ISERROR(SEARCH("Medium",AA82)))</formula>
    </cfRule>
    <cfRule type="containsText" dxfId="56" priority="79" operator="containsText" text="High">
      <formula>NOT(ISERROR(SEARCH("High",AA82)))</formula>
    </cfRule>
  </conditionalFormatting>
  <conditionalFormatting sqref="W82:Y83">
    <cfRule type="containsText" dxfId="55" priority="75" operator="containsText" text="No">
      <formula>NOT(ISERROR(SEARCH("No",W82)))</formula>
    </cfRule>
    <cfRule type="containsText" dxfId="54" priority="76" operator="containsText" text="Yes">
      <formula>NOT(ISERROR(SEARCH("Yes",W82)))</formula>
    </cfRule>
  </conditionalFormatting>
  <conditionalFormatting sqref="U126">
    <cfRule type="containsText" dxfId="53" priority="74" operator="containsText" text="NO">
      <formula>NOT(ISERROR(SEARCH("NO",U126)))</formula>
    </cfRule>
  </conditionalFormatting>
  <conditionalFormatting sqref="U126">
    <cfRule type="containsText" dxfId="52" priority="72" operator="containsText" text="Secondary">
      <formula>NOT(ISERROR(SEARCH("Secondary",U126)))</formula>
    </cfRule>
    <cfRule type="containsText" dxfId="51" priority="73" operator="containsText" text="Primary">
      <formula>NOT(ISERROR(SEARCH("Primary",U126)))</formula>
    </cfRule>
  </conditionalFormatting>
  <conditionalFormatting sqref="W126:Z126 AB126">
    <cfRule type="containsText" dxfId="50" priority="70" operator="containsText" text="No">
      <formula>NOT(ISERROR(SEARCH("No",W126)))</formula>
    </cfRule>
    <cfRule type="containsText" dxfId="49" priority="71" operator="containsText" text="Yes">
      <formula>NOT(ISERROR(SEARCH("Yes",W126)))</formula>
    </cfRule>
  </conditionalFormatting>
  <conditionalFormatting sqref="AA126">
    <cfRule type="containsText" dxfId="48" priority="67" operator="containsText" text="Low">
      <formula>NOT(ISERROR(SEARCH("Low",AA126)))</formula>
    </cfRule>
    <cfRule type="containsText" dxfId="47" priority="68" operator="containsText" text="Medium">
      <formula>NOT(ISERROR(SEARCH("Medium",AA126)))</formula>
    </cfRule>
    <cfRule type="containsText" dxfId="46" priority="69" operator="containsText" text="High">
      <formula>NOT(ISERROR(SEARCH("High",AA126)))</formula>
    </cfRule>
  </conditionalFormatting>
  <conditionalFormatting sqref="AC126">
    <cfRule type="containsText" dxfId="45" priority="64" operator="containsText" text="Low">
      <formula>NOT(ISERROR(SEARCH("Low",AC126)))</formula>
    </cfRule>
    <cfRule type="containsText" dxfId="44" priority="65" operator="containsText" text="Medium">
      <formula>NOT(ISERROR(SEARCH("Medium",AC126)))</formula>
    </cfRule>
    <cfRule type="containsText" dxfId="43" priority="66" operator="containsText" text="High">
      <formula>NOT(ISERROR(SEARCH("High",AC126)))</formula>
    </cfRule>
  </conditionalFormatting>
  <conditionalFormatting sqref="U129">
    <cfRule type="containsText" dxfId="42" priority="63" operator="containsText" text="NO">
      <formula>NOT(ISERROR(SEARCH("NO",U129)))</formula>
    </cfRule>
  </conditionalFormatting>
  <conditionalFormatting sqref="U129">
    <cfRule type="containsText" dxfId="41" priority="61" operator="containsText" text="Secondary">
      <formula>NOT(ISERROR(SEARCH("Secondary",U129)))</formula>
    </cfRule>
    <cfRule type="containsText" dxfId="40" priority="62" operator="containsText" text="Primary">
      <formula>NOT(ISERROR(SEARCH("Primary",U129)))</formula>
    </cfRule>
  </conditionalFormatting>
  <conditionalFormatting sqref="W129:Z129 AB129">
    <cfRule type="containsText" dxfId="39" priority="59" operator="containsText" text="No">
      <formula>NOT(ISERROR(SEARCH("No",W129)))</formula>
    </cfRule>
    <cfRule type="containsText" dxfId="38" priority="60" operator="containsText" text="Yes">
      <formula>NOT(ISERROR(SEARCH("Yes",W129)))</formula>
    </cfRule>
  </conditionalFormatting>
  <conditionalFormatting sqref="AA129">
    <cfRule type="containsText" dxfId="37" priority="56" operator="containsText" text="Low">
      <formula>NOT(ISERROR(SEARCH("Low",AA129)))</formula>
    </cfRule>
    <cfRule type="containsText" dxfId="36" priority="57" operator="containsText" text="Medium">
      <formula>NOT(ISERROR(SEARCH("Medium",AA129)))</formula>
    </cfRule>
    <cfRule type="containsText" dxfId="35" priority="58" operator="containsText" text="High">
      <formula>NOT(ISERROR(SEARCH("High",AA129)))</formula>
    </cfRule>
  </conditionalFormatting>
  <conditionalFormatting sqref="AC129">
    <cfRule type="containsText" dxfId="34" priority="53" operator="containsText" text="Low">
      <formula>NOT(ISERROR(SEARCH("Low",AC129)))</formula>
    </cfRule>
    <cfRule type="containsText" dxfId="33" priority="54" operator="containsText" text="Medium">
      <formula>NOT(ISERROR(SEARCH("Medium",AC129)))</formula>
    </cfRule>
    <cfRule type="containsText" dxfId="32" priority="55" operator="containsText" text="High">
      <formula>NOT(ISERROR(SEARCH("High",AC129)))</formula>
    </cfRule>
  </conditionalFormatting>
  <conditionalFormatting sqref="U131">
    <cfRule type="containsText" dxfId="31" priority="52" operator="containsText" text="NO">
      <formula>NOT(ISERROR(SEARCH("NO",U131)))</formula>
    </cfRule>
  </conditionalFormatting>
  <conditionalFormatting sqref="U131">
    <cfRule type="containsText" dxfId="30" priority="50" operator="containsText" text="Secondary">
      <formula>NOT(ISERROR(SEARCH("Secondary",U131)))</formula>
    </cfRule>
    <cfRule type="containsText" dxfId="29" priority="51" operator="containsText" text="Primary">
      <formula>NOT(ISERROR(SEARCH("Primary",U131)))</formula>
    </cfRule>
  </conditionalFormatting>
  <conditionalFormatting sqref="W131:Z131 AB131">
    <cfRule type="containsText" dxfId="28" priority="48" operator="containsText" text="No">
      <formula>NOT(ISERROR(SEARCH("No",W131)))</formula>
    </cfRule>
    <cfRule type="containsText" dxfId="27" priority="49" operator="containsText" text="Yes">
      <formula>NOT(ISERROR(SEARCH("Yes",W131)))</formula>
    </cfRule>
  </conditionalFormatting>
  <conditionalFormatting sqref="AA131">
    <cfRule type="containsText" dxfId="26" priority="45" operator="containsText" text="Low">
      <formula>NOT(ISERROR(SEARCH("Low",AA131)))</formula>
    </cfRule>
    <cfRule type="containsText" dxfId="25" priority="46" operator="containsText" text="Medium">
      <formula>NOT(ISERROR(SEARCH("Medium",AA131)))</formula>
    </cfRule>
    <cfRule type="containsText" dxfId="24" priority="47" operator="containsText" text="High">
      <formula>NOT(ISERROR(SEARCH("High",AA131)))</formula>
    </cfRule>
  </conditionalFormatting>
  <conditionalFormatting sqref="AC131">
    <cfRule type="containsText" dxfId="23" priority="42" operator="containsText" text="Low">
      <formula>NOT(ISERROR(SEARCH("Low",AC131)))</formula>
    </cfRule>
    <cfRule type="containsText" dxfId="22" priority="43" operator="containsText" text="Medium">
      <formula>NOT(ISERROR(SEARCH("Medium",AC131)))</formula>
    </cfRule>
    <cfRule type="containsText" dxfId="21" priority="44" operator="containsText" text="High">
      <formula>NOT(ISERROR(SEARCH("High",AC131)))</formula>
    </cfRule>
  </conditionalFormatting>
  <conditionalFormatting sqref="AB132 W132:Z132">
    <cfRule type="containsText" dxfId="20" priority="40" operator="containsText" text="No">
      <formula>NOT(ISERROR(SEARCH("No",W132)))</formula>
    </cfRule>
    <cfRule type="containsText" dxfId="19" priority="41" operator="containsText" text="Yes">
      <formula>NOT(ISERROR(SEARCH("Yes",W132)))</formula>
    </cfRule>
  </conditionalFormatting>
  <conditionalFormatting sqref="AA132">
    <cfRule type="containsText" dxfId="18" priority="37" operator="containsText" text="Low">
      <formula>NOT(ISERROR(SEARCH("Low",AA132)))</formula>
    </cfRule>
    <cfRule type="containsText" dxfId="17" priority="38" operator="containsText" text="Medium">
      <formula>NOT(ISERROR(SEARCH("Medium",AA132)))</formula>
    </cfRule>
    <cfRule type="containsText" dxfId="16" priority="39" operator="containsText" text="High">
      <formula>NOT(ISERROR(SEARCH("High",AA132)))</formula>
    </cfRule>
  </conditionalFormatting>
  <conditionalFormatting sqref="AC132">
    <cfRule type="containsText" dxfId="15" priority="34" operator="containsText" text="Low">
      <formula>NOT(ISERROR(SEARCH("Low",AC132)))</formula>
    </cfRule>
    <cfRule type="containsText" dxfId="14" priority="35" operator="containsText" text="Medium">
      <formula>NOT(ISERROR(SEARCH("Medium",AC132)))</formula>
    </cfRule>
    <cfRule type="containsText" dxfId="13" priority="36" operator="containsText" text="High">
      <formula>NOT(ISERROR(SEARCH("High",AC132)))</formula>
    </cfRule>
  </conditionalFormatting>
  <conditionalFormatting sqref="U132">
    <cfRule type="containsText" dxfId="12" priority="33" operator="containsText" text="NO">
      <formula>NOT(ISERROR(SEARCH("NO",U132)))</formula>
    </cfRule>
  </conditionalFormatting>
  <conditionalFormatting sqref="U132">
    <cfRule type="containsText" dxfId="11" priority="31" operator="containsText" text="Secondary">
      <formula>NOT(ISERROR(SEARCH("Secondary",U132)))</formula>
    </cfRule>
    <cfRule type="containsText" dxfId="10" priority="32" operator="containsText" text="Primary">
      <formula>NOT(ISERROR(SEARCH("Primary",U132)))</formula>
    </cfRule>
  </conditionalFormatting>
  <conditionalFormatting sqref="U63">
    <cfRule type="containsText" dxfId="9" priority="30" operator="containsText" text="NO">
      <formula>NOT(ISERROR(SEARCH("NO",U63)))</formula>
    </cfRule>
  </conditionalFormatting>
  <conditionalFormatting sqref="U63">
    <cfRule type="containsText" dxfId="8" priority="28" operator="containsText" text="Secondary">
      <formula>NOT(ISERROR(SEARCH("Secondary",U63)))</formula>
    </cfRule>
    <cfRule type="containsText" dxfId="7" priority="29" operator="containsText" text="Primary">
      <formula>NOT(ISERROR(SEARCH("Primary",U63)))</formula>
    </cfRule>
  </conditionalFormatting>
  <conditionalFormatting sqref="W63:Z63 AB63">
    <cfRule type="containsText" dxfId="6" priority="26" operator="containsText" text="No">
      <formula>NOT(ISERROR(SEARCH("No",W63)))</formula>
    </cfRule>
    <cfRule type="containsText" dxfId="5" priority="27" operator="containsText" text="Yes">
      <formula>NOT(ISERROR(SEARCH("Yes",W63)))</formula>
    </cfRule>
  </conditionalFormatting>
  <conditionalFormatting sqref="AC63 AA63">
    <cfRule type="containsText" dxfId="4" priority="23" operator="containsText" text="Low">
      <formula>NOT(ISERROR(SEARCH("Low",AA63)))</formula>
    </cfRule>
    <cfRule type="containsText" dxfId="3" priority="24" operator="containsText" text="Medium">
      <formula>NOT(ISERROR(SEARCH("Medium",AA63)))</formula>
    </cfRule>
    <cfRule type="containsText" dxfId="2" priority="25" operator="containsText" text="High">
      <formula>NOT(ISERROR(SEARCH("High",AA63)))</formula>
    </cfRule>
  </conditionalFormatting>
  <conditionalFormatting sqref="V2:V132">
    <cfRule type="containsText" dxfId="1" priority="21" operator="containsText" text="Increase">
      <formula>NOT(ISERROR(SEARCH("Increase",V2)))</formula>
    </cfRule>
    <cfRule type="containsText" dxfId="0" priority="22" operator="containsText" text="Decrease">
      <formula>NOT(ISERROR(SEARCH("Decrease",V2)))</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90"/>
  <sheetViews>
    <sheetView topLeftCell="A34" workbookViewId="0">
      <selection activeCell="C43" sqref="C43"/>
    </sheetView>
    <sheetView workbookViewId="1"/>
  </sheetViews>
  <sheetFormatPr defaultRowHeight="15" x14ac:dyDescent="0.25"/>
  <cols>
    <col min="2" max="2" width="27.140625" customWidth="1"/>
    <col min="3" max="3" width="49.85546875" style="10" customWidth="1"/>
    <col min="4" max="4" width="22" style="1" hidden="1" customWidth="1"/>
    <col min="5" max="5" width="45.42578125" style="1" customWidth="1"/>
    <col min="6" max="6" width="41.140625" style="1" customWidth="1"/>
  </cols>
  <sheetData>
    <row r="1" spans="2:6" x14ac:dyDescent="0.25">
      <c r="B1" s="16" t="s">
        <v>211</v>
      </c>
      <c r="C1" s="16" t="s">
        <v>3</v>
      </c>
      <c r="D1" s="16" t="s">
        <v>83</v>
      </c>
      <c r="E1" s="16" t="s">
        <v>10</v>
      </c>
      <c r="F1" s="16" t="s">
        <v>9</v>
      </c>
    </row>
    <row r="2" spans="2:6" x14ac:dyDescent="0.25">
      <c r="B2" s="15"/>
      <c r="C2" s="15"/>
      <c r="D2" s="15"/>
      <c r="E2" s="15"/>
      <c r="F2" s="15"/>
    </row>
    <row r="3" spans="2:6" ht="22.15" customHeight="1" x14ac:dyDescent="0.25">
      <c r="B3" t="s">
        <v>212</v>
      </c>
      <c r="C3" s="8" t="s">
        <v>44</v>
      </c>
      <c r="D3" s="2"/>
      <c r="E3" s="2"/>
      <c r="F3" s="2" t="s">
        <v>43</v>
      </c>
    </row>
    <row r="4" spans="2:6" ht="22.15" customHeight="1" x14ac:dyDescent="0.25">
      <c r="B4" t="s">
        <v>212</v>
      </c>
      <c r="C4" s="8" t="s">
        <v>45</v>
      </c>
      <c r="D4" s="2"/>
      <c r="E4" s="2"/>
      <c r="F4" s="2" t="s">
        <v>46</v>
      </c>
    </row>
    <row r="5" spans="2:6" ht="22.15" customHeight="1" x14ac:dyDescent="0.25">
      <c r="B5" t="s">
        <v>212</v>
      </c>
      <c r="C5" s="8"/>
      <c r="D5" s="2"/>
      <c r="E5" s="2"/>
      <c r="F5" s="2"/>
    </row>
    <row r="6" spans="2:6" ht="22.15" customHeight="1" x14ac:dyDescent="0.25">
      <c r="B6" t="s">
        <v>212</v>
      </c>
      <c r="C6" s="8" t="s">
        <v>48</v>
      </c>
      <c r="D6" s="2"/>
      <c r="E6" s="2"/>
      <c r="F6" s="2"/>
    </row>
    <row r="7" spans="2:6" ht="22.15" customHeight="1" x14ac:dyDescent="0.25">
      <c r="B7" t="s">
        <v>212</v>
      </c>
      <c r="C7" s="8" t="s">
        <v>70</v>
      </c>
      <c r="D7" s="4" t="s">
        <v>84</v>
      </c>
      <c r="E7" s="2" t="s">
        <v>79</v>
      </c>
      <c r="F7" s="2"/>
    </row>
    <row r="8" spans="2:6" ht="22.15" customHeight="1" x14ac:dyDescent="0.25">
      <c r="B8" t="s">
        <v>212</v>
      </c>
      <c r="C8" s="8" t="s">
        <v>77</v>
      </c>
      <c r="D8" s="4" t="s">
        <v>84</v>
      </c>
      <c r="E8" s="2" t="s">
        <v>80</v>
      </c>
      <c r="F8" s="2" t="s">
        <v>78</v>
      </c>
    </row>
    <row r="9" spans="2:6" ht="22.15" customHeight="1" x14ac:dyDescent="0.25">
      <c r="B9" t="s">
        <v>212</v>
      </c>
      <c r="C9" s="8" t="s">
        <v>81</v>
      </c>
      <c r="D9" s="4" t="s">
        <v>85</v>
      </c>
      <c r="E9" s="2" t="s">
        <v>82</v>
      </c>
      <c r="F9" s="2"/>
    </row>
    <row r="10" spans="2:6" ht="22.15" customHeight="1" x14ac:dyDescent="0.25">
      <c r="B10" t="s">
        <v>212</v>
      </c>
      <c r="C10" s="8" t="s">
        <v>52</v>
      </c>
      <c r="D10" s="2"/>
      <c r="E10" s="2"/>
      <c r="F10" s="2" t="s">
        <v>53</v>
      </c>
    </row>
    <row r="11" spans="2:6" ht="22.15" customHeight="1" x14ac:dyDescent="0.25">
      <c r="B11" t="s">
        <v>212</v>
      </c>
      <c r="C11" s="8" t="s">
        <v>55</v>
      </c>
      <c r="D11" s="4" t="s">
        <v>87</v>
      </c>
      <c r="E11" s="2"/>
      <c r="F11" s="2" t="s">
        <v>56</v>
      </c>
    </row>
    <row r="12" spans="2:6" ht="22.15" customHeight="1" x14ac:dyDescent="0.25">
      <c r="B12" t="s">
        <v>212</v>
      </c>
      <c r="C12" s="8" t="s">
        <v>57</v>
      </c>
      <c r="D12" s="2"/>
      <c r="E12" s="2"/>
      <c r="F12" s="2" t="s">
        <v>58</v>
      </c>
    </row>
    <row r="13" spans="2:6" ht="22.15" customHeight="1" x14ac:dyDescent="0.25">
      <c r="B13" t="s">
        <v>212</v>
      </c>
      <c r="C13" s="8" t="s">
        <v>71</v>
      </c>
      <c r="D13" s="2"/>
      <c r="E13" s="2"/>
      <c r="F13" s="2"/>
    </row>
    <row r="14" spans="2:6" ht="22.15" customHeight="1" x14ac:dyDescent="0.25">
      <c r="B14" t="s">
        <v>212</v>
      </c>
      <c r="C14" s="8" t="s">
        <v>74</v>
      </c>
      <c r="D14" s="2"/>
      <c r="E14" s="2" t="s">
        <v>73</v>
      </c>
      <c r="F14" s="2" t="s">
        <v>72</v>
      </c>
    </row>
    <row r="15" spans="2:6" ht="22.15" customHeight="1" x14ac:dyDescent="0.25">
      <c r="B15" t="s">
        <v>212</v>
      </c>
      <c r="C15" s="8" t="s">
        <v>76</v>
      </c>
      <c r="D15" s="4" t="s">
        <v>86</v>
      </c>
      <c r="E15" s="2" t="s">
        <v>75</v>
      </c>
      <c r="F15" s="2"/>
    </row>
    <row r="16" spans="2:6" ht="22.15" customHeight="1" x14ac:dyDescent="0.25">
      <c r="B16" t="s">
        <v>212</v>
      </c>
      <c r="C16" s="18" t="s">
        <v>96</v>
      </c>
      <c r="D16" s="2"/>
      <c r="E16" s="2"/>
      <c r="F16" s="2"/>
    </row>
    <row r="17" spans="2:6" ht="22.15" customHeight="1" x14ac:dyDescent="0.25">
      <c r="B17" t="s">
        <v>212</v>
      </c>
      <c r="C17" s="18" t="s">
        <v>97</v>
      </c>
      <c r="D17" s="2"/>
      <c r="E17" s="2"/>
      <c r="F17" s="2"/>
    </row>
    <row r="18" spans="2:6" ht="22.15" customHeight="1" x14ac:dyDescent="0.25">
      <c r="B18" t="s">
        <v>212</v>
      </c>
      <c r="C18" s="18" t="s">
        <v>98</v>
      </c>
      <c r="D18" s="2"/>
      <c r="E18" s="2"/>
      <c r="F18" s="2"/>
    </row>
    <row r="19" spans="2:6" ht="22.15" customHeight="1" x14ac:dyDescent="0.25">
      <c r="B19" t="s">
        <v>212</v>
      </c>
      <c r="C19" s="18" t="s">
        <v>99</v>
      </c>
      <c r="D19" s="2"/>
      <c r="E19" s="2"/>
      <c r="F19" s="2"/>
    </row>
    <row r="20" spans="2:6" ht="22.15" customHeight="1" x14ac:dyDescent="0.25">
      <c r="B20" t="s">
        <v>212</v>
      </c>
      <c r="C20" s="18" t="s">
        <v>100</v>
      </c>
      <c r="D20" s="2"/>
      <c r="E20" s="2"/>
      <c r="F20" s="2"/>
    </row>
    <row r="21" spans="2:6" ht="22.15" customHeight="1" x14ac:dyDescent="0.25">
      <c r="B21" t="s">
        <v>212</v>
      </c>
      <c r="C21" s="8" t="s">
        <v>59</v>
      </c>
      <c r="D21" s="4" t="s">
        <v>114</v>
      </c>
      <c r="E21" s="2"/>
      <c r="F21" s="2" t="s">
        <v>60</v>
      </c>
    </row>
    <row r="22" spans="2:6" ht="22.15" customHeight="1" x14ac:dyDescent="0.25">
      <c r="B22" t="s">
        <v>212</v>
      </c>
      <c r="C22" s="8" t="s">
        <v>61</v>
      </c>
      <c r="D22" s="4" t="s">
        <v>114</v>
      </c>
      <c r="E22" s="2"/>
      <c r="F22" s="2" t="s">
        <v>62</v>
      </c>
    </row>
    <row r="23" spans="2:6" ht="22.15" customHeight="1" x14ac:dyDescent="0.25">
      <c r="B23" t="s">
        <v>212</v>
      </c>
      <c r="C23" s="8" t="s">
        <v>41</v>
      </c>
      <c r="D23" s="2"/>
      <c r="E23" s="2"/>
      <c r="F23" s="2" t="s">
        <v>42</v>
      </c>
    </row>
    <row r="24" spans="2:6" ht="22.15" customHeight="1" x14ac:dyDescent="0.25">
      <c r="B24" t="s">
        <v>212</v>
      </c>
      <c r="C24" s="8" t="s">
        <v>49</v>
      </c>
      <c r="D24" s="6" t="s">
        <v>89</v>
      </c>
      <c r="E24" s="2"/>
      <c r="F24" s="2"/>
    </row>
    <row r="25" spans="2:6" ht="22.15" customHeight="1" x14ac:dyDescent="0.25">
      <c r="B25" t="s">
        <v>212</v>
      </c>
      <c r="C25" s="8" t="s">
        <v>63</v>
      </c>
      <c r="D25" s="6" t="s">
        <v>89</v>
      </c>
      <c r="E25" s="2"/>
      <c r="F25" s="2"/>
    </row>
    <row r="26" spans="2:6" ht="22.15" customHeight="1" x14ac:dyDescent="0.25">
      <c r="B26" t="s">
        <v>212</v>
      </c>
      <c r="C26" s="8" t="s">
        <v>64</v>
      </c>
      <c r="D26" s="6" t="s">
        <v>90</v>
      </c>
      <c r="E26" s="2"/>
      <c r="F26" s="2" t="s">
        <v>65</v>
      </c>
    </row>
    <row r="27" spans="2:6" ht="22.15" customHeight="1" x14ac:dyDescent="0.25">
      <c r="B27" t="s">
        <v>212</v>
      </c>
      <c r="C27" s="8" t="s">
        <v>88</v>
      </c>
      <c r="D27" s="2"/>
      <c r="E27" s="2"/>
      <c r="F27" s="2" t="s">
        <v>47</v>
      </c>
    </row>
    <row r="28" spans="2:6" ht="22.15" customHeight="1" x14ac:dyDescent="0.25">
      <c r="B28" t="s">
        <v>212</v>
      </c>
      <c r="C28" s="8" t="s">
        <v>30</v>
      </c>
      <c r="D28" s="2" t="s">
        <v>91</v>
      </c>
      <c r="E28" s="2"/>
      <c r="F28" s="2" t="s">
        <v>31</v>
      </c>
    </row>
    <row r="29" spans="2:6" ht="22.15" customHeight="1" x14ac:dyDescent="0.25">
      <c r="B29" t="s">
        <v>212</v>
      </c>
      <c r="C29" s="8" t="s">
        <v>39</v>
      </c>
      <c r="D29" s="2"/>
      <c r="E29" s="2"/>
      <c r="F29" s="2" t="s">
        <v>40</v>
      </c>
    </row>
    <row r="30" spans="2:6" ht="22.15" customHeight="1" x14ac:dyDescent="0.25">
      <c r="B30" t="s">
        <v>212</v>
      </c>
      <c r="C30" s="8" t="s">
        <v>39</v>
      </c>
      <c r="D30" s="2"/>
      <c r="E30" s="2"/>
      <c r="F30" s="2" t="s">
        <v>40</v>
      </c>
    </row>
    <row r="31" spans="2:6" ht="22.15" customHeight="1" x14ac:dyDescent="0.25">
      <c r="B31" t="s">
        <v>212</v>
      </c>
      <c r="C31" s="8" t="s">
        <v>50</v>
      </c>
      <c r="D31" s="11" t="s">
        <v>92</v>
      </c>
      <c r="E31" s="2"/>
      <c r="F31" s="2" t="s">
        <v>51</v>
      </c>
    </row>
    <row r="32" spans="2:6" ht="22.15" customHeight="1" x14ac:dyDescent="0.25">
      <c r="B32" t="s">
        <v>212</v>
      </c>
      <c r="C32" s="8" t="s">
        <v>50</v>
      </c>
      <c r="D32" s="11" t="s">
        <v>92</v>
      </c>
      <c r="E32" s="2"/>
      <c r="F32" s="2" t="s">
        <v>51</v>
      </c>
    </row>
    <row r="33" spans="2:6" ht="22.15" customHeight="1" x14ac:dyDescent="0.25">
      <c r="B33" t="s">
        <v>212</v>
      </c>
      <c r="C33" s="8" t="s">
        <v>66</v>
      </c>
      <c r="D33" s="11" t="s">
        <v>92</v>
      </c>
      <c r="E33" s="2"/>
      <c r="F33" s="2"/>
    </row>
    <row r="34" spans="2:6" ht="22.15" customHeight="1" x14ac:dyDescent="0.25">
      <c r="B34" t="s">
        <v>212</v>
      </c>
      <c r="C34" s="8" t="s">
        <v>34</v>
      </c>
      <c r="D34" s="2"/>
      <c r="E34" s="2"/>
      <c r="F34" s="2" t="s">
        <v>35</v>
      </c>
    </row>
    <row r="35" spans="2:6" ht="22.15" customHeight="1" x14ac:dyDescent="0.25">
      <c r="B35" t="s">
        <v>212</v>
      </c>
      <c r="C35" s="8" t="s">
        <v>32</v>
      </c>
      <c r="D35" s="2"/>
      <c r="E35" s="2"/>
      <c r="F35" s="2" t="s">
        <v>33</v>
      </c>
    </row>
    <row r="36" spans="2:6" ht="22.15" customHeight="1" x14ac:dyDescent="0.25">
      <c r="B36" t="s">
        <v>212</v>
      </c>
      <c r="C36" s="8" t="s">
        <v>32</v>
      </c>
      <c r="D36" s="2"/>
      <c r="E36" s="2"/>
      <c r="F36" s="2" t="s">
        <v>33</v>
      </c>
    </row>
    <row r="37" spans="2:6" ht="22.15" customHeight="1" x14ac:dyDescent="0.25">
      <c r="B37" t="s">
        <v>212</v>
      </c>
      <c r="C37" s="8" t="s">
        <v>36</v>
      </c>
      <c r="D37" s="13" t="s">
        <v>94</v>
      </c>
      <c r="E37" s="2"/>
      <c r="F37" s="2"/>
    </row>
    <row r="38" spans="2:6" ht="22.15" customHeight="1" x14ac:dyDescent="0.25">
      <c r="B38" t="s">
        <v>212</v>
      </c>
      <c r="C38" s="8" t="s">
        <v>37</v>
      </c>
      <c r="D38" s="2"/>
      <c r="E38" s="2"/>
      <c r="F38" s="2" t="s">
        <v>38</v>
      </c>
    </row>
    <row r="39" spans="2:6" ht="22.15" customHeight="1" x14ac:dyDescent="0.25">
      <c r="B39" t="s">
        <v>212</v>
      </c>
      <c r="C39" s="8" t="s">
        <v>37</v>
      </c>
      <c r="D39" s="2"/>
      <c r="E39" s="2"/>
      <c r="F39" s="2" t="s">
        <v>38</v>
      </c>
    </row>
    <row r="40" spans="2:6" ht="22.15" customHeight="1" x14ac:dyDescent="0.25">
      <c r="B40" t="s">
        <v>212</v>
      </c>
      <c r="C40" s="8" t="s">
        <v>54</v>
      </c>
      <c r="D40" s="14" t="s">
        <v>95</v>
      </c>
      <c r="E40" s="2"/>
      <c r="F40" s="2"/>
    </row>
    <row r="41" spans="2:6" ht="22.15" customHeight="1" x14ac:dyDescent="0.25">
      <c r="B41" t="s">
        <v>212</v>
      </c>
      <c r="C41" s="8" t="s">
        <v>68</v>
      </c>
      <c r="D41" s="2"/>
      <c r="E41" s="2"/>
      <c r="F41" s="2" t="s">
        <v>67</v>
      </c>
    </row>
    <row r="42" spans="2:6" ht="22.15" customHeight="1" x14ac:dyDescent="0.25">
      <c r="B42" t="s">
        <v>212</v>
      </c>
      <c r="C42" s="8" t="s">
        <v>69</v>
      </c>
      <c r="D42" s="2"/>
      <c r="E42" s="2"/>
      <c r="F42" s="2"/>
    </row>
    <row r="43" spans="2:6" ht="51.75" customHeight="1" x14ac:dyDescent="0.25">
      <c r="B43" t="s">
        <v>212</v>
      </c>
      <c r="C43" s="8" t="s">
        <v>651</v>
      </c>
      <c r="D43" s="2"/>
      <c r="E43" s="2"/>
      <c r="F43" s="2"/>
    </row>
    <row r="44" spans="2:6" ht="30" x14ac:dyDescent="0.25">
      <c r="B44" t="s">
        <v>213</v>
      </c>
      <c r="C44" s="22" t="s">
        <v>214</v>
      </c>
      <c r="D44" s="2"/>
      <c r="E44" s="2"/>
      <c r="F44" s="2"/>
    </row>
    <row r="45" spans="2:6" ht="45" x14ac:dyDescent="0.25">
      <c r="B45" t="s">
        <v>213</v>
      </c>
      <c r="C45" s="22" t="s">
        <v>215</v>
      </c>
      <c r="D45" s="2"/>
      <c r="E45" s="2"/>
      <c r="F45" s="2"/>
    </row>
    <row r="46" spans="2:6" ht="30" x14ac:dyDescent="0.25">
      <c r="B46" t="s">
        <v>213</v>
      </c>
      <c r="C46" s="22" t="s">
        <v>216</v>
      </c>
      <c r="D46" s="2"/>
      <c r="E46" s="2"/>
      <c r="F46" s="2"/>
    </row>
    <row r="47" spans="2:6" x14ac:dyDescent="0.25">
      <c r="B47" t="s">
        <v>213</v>
      </c>
      <c r="C47" t="s">
        <v>217</v>
      </c>
      <c r="D47" s="2"/>
      <c r="E47" s="2"/>
      <c r="F47" s="2"/>
    </row>
    <row r="48" spans="2:6" x14ac:dyDescent="0.25">
      <c r="B48" t="s">
        <v>213</v>
      </c>
      <c r="C48" s="33" t="s">
        <v>218</v>
      </c>
      <c r="D48" s="2"/>
      <c r="E48" s="2"/>
      <c r="F48" s="2"/>
    </row>
    <row r="49" spans="2:6" x14ac:dyDescent="0.25">
      <c r="B49" t="s">
        <v>213</v>
      </c>
      <c r="C49" s="33" t="s">
        <v>219</v>
      </c>
      <c r="D49" s="2"/>
      <c r="E49" s="2"/>
      <c r="F49" s="2"/>
    </row>
    <row r="50" spans="2:6" x14ac:dyDescent="0.25">
      <c r="B50" t="s">
        <v>213</v>
      </c>
      <c r="C50" s="33" t="s">
        <v>220</v>
      </c>
      <c r="D50" s="2"/>
      <c r="E50" s="2"/>
      <c r="F50" s="2"/>
    </row>
    <row r="51" spans="2:6" x14ac:dyDescent="0.25">
      <c r="B51" t="s">
        <v>213</v>
      </c>
      <c r="C51" s="3" t="s">
        <v>221</v>
      </c>
      <c r="D51" s="2"/>
      <c r="E51" s="2"/>
      <c r="F51" s="2"/>
    </row>
    <row r="52" spans="2:6" ht="30" x14ac:dyDescent="0.25">
      <c r="B52" t="s">
        <v>213</v>
      </c>
      <c r="C52" s="22" t="s">
        <v>222</v>
      </c>
      <c r="D52" s="2"/>
      <c r="E52" s="2"/>
      <c r="F52" s="2"/>
    </row>
    <row r="53" spans="2:6" ht="30" x14ac:dyDescent="0.25">
      <c r="B53" t="s">
        <v>213</v>
      </c>
      <c r="C53" s="22" t="s">
        <v>223</v>
      </c>
      <c r="D53" s="2"/>
      <c r="E53" s="2"/>
      <c r="F53" s="2"/>
    </row>
    <row r="54" spans="2:6" x14ac:dyDescent="0.25">
      <c r="B54" t="s">
        <v>213</v>
      </c>
      <c r="C54" t="s">
        <v>224</v>
      </c>
      <c r="D54" s="2"/>
      <c r="E54" s="2"/>
      <c r="F54" s="2"/>
    </row>
    <row r="55" spans="2:6" x14ac:dyDescent="0.25">
      <c r="B55" t="s">
        <v>213</v>
      </c>
      <c r="C55" s="3" t="s">
        <v>225</v>
      </c>
      <c r="D55" s="2"/>
      <c r="E55" s="2"/>
      <c r="F55" s="2"/>
    </row>
    <row r="56" spans="2:6" x14ac:dyDescent="0.25">
      <c r="B56" t="s">
        <v>213</v>
      </c>
      <c r="C56" s="3" t="s">
        <v>226</v>
      </c>
      <c r="D56" s="2"/>
      <c r="E56" s="2"/>
      <c r="F56" s="2"/>
    </row>
    <row r="57" spans="2:6" x14ac:dyDescent="0.25">
      <c r="B57" t="s">
        <v>213</v>
      </c>
      <c r="C57" s="3" t="s">
        <v>227</v>
      </c>
      <c r="D57" s="2"/>
      <c r="E57" s="2"/>
      <c r="F57" s="2"/>
    </row>
    <row r="58" spans="2:6" x14ac:dyDescent="0.25">
      <c r="B58" t="s">
        <v>213</v>
      </c>
      <c r="C58" s="3" t="s">
        <v>228</v>
      </c>
      <c r="D58" s="2"/>
      <c r="E58" s="2"/>
      <c r="F58" s="2"/>
    </row>
    <row r="59" spans="2:6" x14ac:dyDescent="0.25">
      <c r="B59" t="s">
        <v>213</v>
      </c>
      <c r="C59" s="3" t="s">
        <v>229</v>
      </c>
      <c r="D59" s="2"/>
      <c r="E59" s="2"/>
      <c r="F59" s="2"/>
    </row>
    <row r="60" spans="2:6" x14ac:dyDescent="0.25">
      <c r="B60" t="s">
        <v>213</v>
      </c>
      <c r="C60" s="3" t="s">
        <v>230</v>
      </c>
      <c r="D60" s="2"/>
      <c r="E60" s="2"/>
      <c r="F60" s="2"/>
    </row>
    <row r="61" spans="2:6" x14ac:dyDescent="0.25">
      <c r="B61" t="s">
        <v>213</v>
      </c>
      <c r="C61" s="3" t="s">
        <v>231</v>
      </c>
      <c r="D61" s="2"/>
      <c r="E61" s="2"/>
      <c r="F61" s="2"/>
    </row>
    <row r="62" spans="2:6" x14ac:dyDescent="0.25">
      <c r="B62" t="s">
        <v>213</v>
      </c>
      <c r="C62" s="3" t="s">
        <v>232</v>
      </c>
      <c r="D62" s="2"/>
      <c r="E62" s="2"/>
      <c r="F62" s="2"/>
    </row>
    <row r="63" spans="2:6" x14ac:dyDescent="0.25">
      <c r="B63" t="s">
        <v>213</v>
      </c>
      <c r="C63" s="3" t="s">
        <v>233</v>
      </c>
      <c r="D63" s="2"/>
      <c r="E63" s="2"/>
      <c r="F63" s="2"/>
    </row>
    <row r="64" spans="2:6" x14ac:dyDescent="0.25">
      <c r="B64" t="s">
        <v>213</v>
      </c>
      <c r="C64" s="35" t="s">
        <v>234</v>
      </c>
      <c r="D64" s="2"/>
      <c r="E64" s="2"/>
      <c r="F64" s="2"/>
    </row>
    <row r="65" spans="2:6" x14ac:dyDescent="0.25">
      <c r="B65" t="s">
        <v>213</v>
      </c>
      <c r="C65" s="35" t="s">
        <v>235</v>
      </c>
      <c r="D65" s="2"/>
      <c r="E65" s="2"/>
      <c r="F65" s="2"/>
    </row>
    <row r="66" spans="2:6" x14ac:dyDescent="0.25">
      <c r="B66" t="s">
        <v>213</v>
      </c>
      <c r="C66" s="35" t="s">
        <v>236</v>
      </c>
      <c r="D66" s="2"/>
      <c r="E66" s="2"/>
      <c r="F66" s="2"/>
    </row>
    <row r="67" spans="2:6" x14ac:dyDescent="0.25">
      <c r="B67" t="s">
        <v>213</v>
      </c>
      <c r="C67" s="35" t="s">
        <v>237</v>
      </c>
      <c r="D67" s="2"/>
      <c r="E67" s="2"/>
      <c r="F67" s="2"/>
    </row>
    <row r="68" spans="2:6" x14ac:dyDescent="0.25">
      <c r="B68" t="s">
        <v>213</v>
      </c>
      <c r="C68" s="35" t="s">
        <v>238</v>
      </c>
      <c r="D68" s="2"/>
      <c r="E68" s="2"/>
      <c r="F68" s="2"/>
    </row>
    <row r="69" spans="2:6" ht="105" x14ac:dyDescent="0.25">
      <c r="B69" t="s">
        <v>213</v>
      </c>
      <c r="C69" s="36" t="s">
        <v>245</v>
      </c>
      <c r="D69" s="2"/>
      <c r="E69" s="2"/>
      <c r="F69" s="2"/>
    </row>
    <row r="70" spans="2:6" x14ac:dyDescent="0.25">
      <c r="B70" t="s">
        <v>213</v>
      </c>
      <c r="C70" s="35" t="s">
        <v>239</v>
      </c>
      <c r="D70" s="2"/>
      <c r="E70" s="2"/>
      <c r="F70" s="2"/>
    </row>
    <row r="71" spans="2:6" x14ac:dyDescent="0.25">
      <c r="B71" t="s">
        <v>213</v>
      </c>
      <c r="C71" s="35" t="s">
        <v>240</v>
      </c>
      <c r="D71" s="2"/>
      <c r="E71" s="2"/>
      <c r="F71" s="2"/>
    </row>
    <row r="72" spans="2:6" x14ac:dyDescent="0.25">
      <c r="B72" t="s">
        <v>213</v>
      </c>
      <c r="C72" s="35" t="s">
        <v>241</v>
      </c>
      <c r="D72" s="2"/>
      <c r="E72" s="2"/>
      <c r="F72" s="2"/>
    </row>
    <row r="73" spans="2:6" x14ac:dyDescent="0.25">
      <c r="B73" t="s">
        <v>213</v>
      </c>
      <c r="C73" s="34" t="s">
        <v>242</v>
      </c>
      <c r="D73" s="2"/>
      <c r="E73" s="2"/>
      <c r="F73" s="2"/>
    </row>
    <row r="74" spans="2:6" x14ac:dyDescent="0.25">
      <c r="B74" t="s">
        <v>213</v>
      </c>
      <c r="C74" s="33" t="s">
        <v>243</v>
      </c>
      <c r="D74" s="2"/>
      <c r="E74" s="2"/>
      <c r="F74" s="2"/>
    </row>
    <row r="75" spans="2:6" x14ac:dyDescent="0.25">
      <c r="B75" t="s">
        <v>213</v>
      </c>
      <c r="C75" s="33" t="s">
        <v>244</v>
      </c>
      <c r="D75" s="2"/>
      <c r="E75" s="2"/>
      <c r="F75" s="2"/>
    </row>
    <row r="76" spans="2:6" x14ac:dyDescent="0.25">
      <c r="B76" t="s">
        <v>213</v>
      </c>
      <c r="C76" s="3" t="s">
        <v>246</v>
      </c>
      <c r="D76" s="2"/>
      <c r="E76" s="33" t="s">
        <v>247</v>
      </c>
      <c r="F76" s="2"/>
    </row>
    <row r="77" spans="2:6" x14ac:dyDescent="0.25">
      <c r="B77" t="s">
        <v>213</v>
      </c>
      <c r="C77" s="3" t="s">
        <v>248</v>
      </c>
      <c r="D77" s="2"/>
      <c r="E77" s="2"/>
      <c r="F77" s="2"/>
    </row>
    <row r="78" spans="2:6" x14ac:dyDescent="0.25">
      <c r="B78" t="s">
        <v>213</v>
      </c>
      <c r="C78" s="3" t="s">
        <v>249</v>
      </c>
      <c r="D78" s="2"/>
      <c r="E78" s="2"/>
      <c r="F78" s="2"/>
    </row>
    <row r="79" spans="2:6" x14ac:dyDescent="0.25">
      <c r="B79" t="s">
        <v>213</v>
      </c>
      <c r="C79" s="3" t="s">
        <v>250</v>
      </c>
      <c r="D79" s="2"/>
      <c r="E79" s="2"/>
      <c r="F79" s="2"/>
    </row>
    <row r="80" spans="2:6" x14ac:dyDescent="0.25">
      <c r="B80" t="s">
        <v>213</v>
      </c>
      <c r="C80" s="3" t="s">
        <v>251</v>
      </c>
      <c r="D80" s="2"/>
      <c r="E80" s="2"/>
      <c r="F80" s="2"/>
    </row>
    <row r="81" spans="2:6" x14ac:dyDescent="0.25">
      <c r="B81" t="s">
        <v>213</v>
      </c>
      <c r="C81" s="3" t="s">
        <v>252</v>
      </c>
      <c r="D81" s="2"/>
      <c r="E81" s="2"/>
      <c r="F81" s="2"/>
    </row>
    <row r="82" spans="2:6" x14ac:dyDescent="0.25">
      <c r="B82" t="s">
        <v>213</v>
      </c>
      <c r="C82" s="3" t="s">
        <v>253</v>
      </c>
      <c r="D82" s="2"/>
      <c r="E82" s="2"/>
      <c r="F82" s="2"/>
    </row>
    <row r="83" spans="2:6" x14ac:dyDescent="0.25">
      <c r="B83" t="s">
        <v>213</v>
      </c>
      <c r="C83" s="3" t="s">
        <v>254</v>
      </c>
      <c r="D83" s="2"/>
      <c r="E83" s="2"/>
      <c r="F83" s="2"/>
    </row>
    <row r="84" spans="2:6" x14ac:dyDescent="0.25">
      <c r="B84" t="s">
        <v>213</v>
      </c>
      <c r="C84" s="33" t="s">
        <v>255</v>
      </c>
      <c r="D84" s="2"/>
      <c r="E84" s="2"/>
      <c r="F84" s="2"/>
    </row>
    <row r="85" spans="2:6" x14ac:dyDescent="0.25">
      <c r="B85" t="s">
        <v>213</v>
      </c>
      <c r="C85" s="3" t="s">
        <v>256</v>
      </c>
      <c r="D85" s="2"/>
      <c r="E85" s="2"/>
      <c r="F85" s="2"/>
    </row>
    <row r="86" spans="2:6" x14ac:dyDescent="0.25">
      <c r="B86" t="s">
        <v>213</v>
      </c>
      <c r="C86" s="3" t="s">
        <v>257</v>
      </c>
      <c r="D86" s="2"/>
      <c r="E86" s="2"/>
      <c r="F86" s="2"/>
    </row>
    <row r="87" spans="2:6" x14ac:dyDescent="0.25">
      <c r="B87" t="s">
        <v>213</v>
      </c>
      <c r="C87" s="35" t="s">
        <v>258</v>
      </c>
      <c r="D87" s="2"/>
      <c r="E87" s="2"/>
      <c r="F87" s="2"/>
    </row>
    <row r="88" spans="2:6" x14ac:dyDescent="0.25">
      <c r="B88" t="s">
        <v>213</v>
      </c>
      <c r="C88" s="35" t="s">
        <v>259</v>
      </c>
      <c r="D88" s="2"/>
      <c r="E88" s="2"/>
      <c r="F88" s="2"/>
    </row>
    <row r="89" spans="2:6" x14ac:dyDescent="0.25">
      <c r="B89" t="s">
        <v>213</v>
      </c>
      <c r="C89" s="35" t="s">
        <v>260</v>
      </c>
      <c r="D89" s="2"/>
      <c r="E89" s="2"/>
      <c r="F89" s="2"/>
    </row>
    <row r="90" spans="2:6" x14ac:dyDescent="0.25">
      <c r="B90" t="s">
        <v>213</v>
      </c>
      <c r="C90" s="35" t="s">
        <v>261</v>
      </c>
      <c r="D90" s="2"/>
      <c r="E90" s="2"/>
      <c r="F90" s="2"/>
    </row>
    <row r="91" spans="2:6" x14ac:dyDescent="0.25">
      <c r="B91" t="s">
        <v>213</v>
      </c>
      <c r="C91" s="35" t="s">
        <v>262</v>
      </c>
      <c r="D91" s="2"/>
      <c r="E91" s="2"/>
      <c r="F91" s="2"/>
    </row>
    <row r="92" spans="2:6" x14ac:dyDescent="0.25">
      <c r="B92" t="s">
        <v>213</v>
      </c>
      <c r="C92" s="3" t="s">
        <v>263</v>
      </c>
      <c r="D92" s="2"/>
      <c r="E92" s="2"/>
      <c r="F92" s="2"/>
    </row>
    <row r="93" spans="2:6" x14ac:dyDescent="0.25">
      <c r="B93" t="s">
        <v>213</v>
      </c>
      <c r="C93" s="3" t="s">
        <v>264</v>
      </c>
      <c r="D93" s="2"/>
      <c r="E93" s="2"/>
      <c r="F93" s="2"/>
    </row>
    <row r="94" spans="2:6" x14ac:dyDescent="0.25">
      <c r="B94" t="s">
        <v>213</v>
      </c>
      <c r="C94" s="3" t="s">
        <v>265</v>
      </c>
      <c r="D94" s="2"/>
      <c r="E94" s="2"/>
      <c r="F94" s="2"/>
    </row>
    <row r="95" spans="2:6" x14ac:dyDescent="0.25">
      <c r="B95" t="s">
        <v>213</v>
      </c>
      <c r="C95" s="3" t="s">
        <v>266</v>
      </c>
      <c r="D95" s="2"/>
      <c r="E95" s="2"/>
      <c r="F95" s="2"/>
    </row>
    <row r="96" spans="2:6" x14ac:dyDescent="0.25">
      <c r="B96" t="s">
        <v>213</v>
      </c>
      <c r="C96" s="3" t="s">
        <v>267</v>
      </c>
      <c r="D96" s="2"/>
      <c r="E96" s="2"/>
      <c r="F96" s="2"/>
    </row>
    <row r="97" spans="2:6" x14ac:dyDescent="0.25">
      <c r="B97" t="s">
        <v>213</v>
      </c>
      <c r="C97" s="3" t="s">
        <v>268</v>
      </c>
      <c r="D97" s="2"/>
      <c r="E97" s="2"/>
      <c r="F97" s="2"/>
    </row>
    <row r="98" spans="2:6" x14ac:dyDescent="0.25">
      <c r="B98" t="s">
        <v>213</v>
      </c>
      <c r="C98" s="3" t="s">
        <v>269</v>
      </c>
      <c r="D98" s="2"/>
      <c r="E98" s="2"/>
      <c r="F98" s="2"/>
    </row>
    <row r="99" spans="2:6" x14ac:dyDescent="0.25">
      <c r="B99" t="s">
        <v>213</v>
      </c>
      <c r="C99" s="3" t="s">
        <v>270</v>
      </c>
      <c r="D99" s="2"/>
      <c r="E99" s="2"/>
      <c r="F99" s="2"/>
    </row>
    <row r="100" spans="2:6" x14ac:dyDescent="0.25">
      <c r="B100" t="s">
        <v>213</v>
      </c>
      <c r="C100" s="3" t="s">
        <v>271</v>
      </c>
      <c r="D100" s="2"/>
      <c r="E100" s="2"/>
      <c r="F100" s="2"/>
    </row>
    <row r="101" spans="2:6" x14ac:dyDescent="0.25">
      <c r="B101" t="s">
        <v>213</v>
      </c>
      <c r="C101" s="3" t="s">
        <v>272</v>
      </c>
      <c r="D101" s="2"/>
      <c r="E101" s="2"/>
      <c r="F101" s="2"/>
    </row>
    <row r="102" spans="2:6" x14ac:dyDescent="0.25">
      <c r="B102" t="s">
        <v>213</v>
      </c>
      <c r="C102" s="3" t="s">
        <v>273</v>
      </c>
      <c r="D102" s="2"/>
      <c r="E102" s="33" t="s">
        <v>275</v>
      </c>
      <c r="F102" s="2"/>
    </row>
    <row r="103" spans="2:6" x14ac:dyDescent="0.25">
      <c r="B103" t="s">
        <v>213</v>
      </c>
      <c r="C103" s="3" t="s">
        <v>274</v>
      </c>
      <c r="D103" s="2"/>
      <c r="E103" s="33" t="s">
        <v>276</v>
      </c>
      <c r="F103" s="2"/>
    </row>
    <row r="104" spans="2:6" x14ac:dyDescent="0.25">
      <c r="B104" t="s">
        <v>213</v>
      </c>
      <c r="C104" s="38" t="s">
        <v>277</v>
      </c>
      <c r="D104" s="2"/>
      <c r="E104" s="2"/>
      <c r="F104" s="2"/>
    </row>
    <row r="105" spans="2:6" x14ac:dyDescent="0.25">
      <c r="B105" t="s">
        <v>213</v>
      </c>
      <c r="C105" s="3" t="s">
        <v>278</v>
      </c>
      <c r="D105" s="2"/>
      <c r="E105" s="2"/>
      <c r="F105" s="2"/>
    </row>
    <row r="106" spans="2:6" x14ac:dyDescent="0.25">
      <c r="B106" t="s">
        <v>213</v>
      </c>
      <c r="C106" t="s">
        <v>279</v>
      </c>
      <c r="D106" s="2"/>
      <c r="E106" s="2"/>
      <c r="F106" s="2"/>
    </row>
    <row r="107" spans="2:6" x14ac:dyDescent="0.25">
      <c r="B107" t="s">
        <v>213</v>
      </c>
      <c r="C107" s="3" t="s">
        <v>280</v>
      </c>
      <c r="D107" s="2"/>
      <c r="E107" s="2"/>
      <c r="F107" s="2"/>
    </row>
    <row r="108" spans="2:6" x14ac:dyDescent="0.25">
      <c r="B108" t="s">
        <v>213</v>
      </c>
      <c r="C108" s="3" t="s">
        <v>281</v>
      </c>
      <c r="D108" s="2"/>
      <c r="E108" s="2"/>
      <c r="F108" s="2"/>
    </row>
    <row r="109" spans="2:6" x14ac:dyDescent="0.25">
      <c r="B109" t="s">
        <v>213</v>
      </c>
      <c r="C109" s="3" t="s">
        <v>282</v>
      </c>
      <c r="D109" s="2"/>
      <c r="E109" s="2"/>
      <c r="F109" s="2"/>
    </row>
    <row r="110" spans="2:6" ht="18.600000000000001" customHeight="1" x14ac:dyDescent="0.25">
      <c r="B110" t="s">
        <v>213</v>
      </c>
      <c r="C110" s="3" t="s">
        <v>283</v>
      </c>
      <c r="D110" s="2"/>
      <c r="E110" s="2" t="s">
        <v>284</v>
      </c>
      <c r="F110" s="2"/>
    </row>
    <row r="111" spans="2:6" x14ac:dyDescent="0.25">
      <c r="B111" t="s">
        <v>213</v>
      </c>
      <c r="C111" s="3" t="s">
        <v>285</v>
      </c>
      <c r="D111" s="2"/>
      <c r="E111" s="2"/>
      <c r="F111" s="2"/>
    </row>
    <row r="112" spans="2:6" x14ac:dyDescent="0.25">
      <c r="B112" t="s">
        <v>213</v>
      </c>
      <c r="C112" s="3" t="s">
        <v>286</v>
      </c>
      <c r="D112" s="2"/>
      <c r="E112" s="2"/>
      <c r="F112" s="2"/>
    </row>
    <row r="113" spans="2:6" x14ac:dyDescent="0.25">
      <c r="B113" t="s">
        <v>213</v>
      </c>
      <c r="C113" s="38" t="s">
        <v>287</v>
      </c>
      <c r="D113" s="2"/>
      <c r="E113" s="2"/>
      <c r="F113" s="2"/>
    </row>
    <row r="114" spans="2:6" x14ac:dyDescent="0.25">
      <c r="B114" t="s">
        <v>213</v>
      </c>
      <c r="C114" s="38" t="s">
        <v>288</v>
      </c>
      <c r="D114" s="2"/>
      <c r="E114" s="2"/>
      <c r="F114" s="2"/>
    </row>
    <row r="115" spans="2:6" x14ac:dyDescent="0.25">
      <c r="B115" t="s">
        <v>213</v>
      </c>
      <c r="C115" s="38" t="s">
        <v>289</v>
      </c>
      <c r="D115" s="2"/>
      <c r="E115" s="2"/>
      <c r="F115" s="2"/>
    </row>
    <row r="116" spans="2:6" x14ac:dyDescent="0.25">
      <c r="B116" t="s">
        <v>213</v>
      </c>
      <c r="C116" s="38" t="s">
        <v>290</v>
      </c>
      <c r="D116" s="2"/>
      <c r="E116" s="2"/>
      <c r="F116" s="2"/>
    </row>
    <row r="117" spans="2:6" x14ac:dyDescent="0.25">
      <c r="B117" t="s">
        <v>213</v>
      </c>
      <c r="C117" s="33" t="s">
        <v>291</v>
      </c>
      <c r="D117" s="2"/>
      <c r="E117" s="2"/>
      <c r="F117" s="2"/>
    </row>
    <row r="118" spans="2:6" x14ac:dyDescent="0.25">
      <c r="B118" t="s">
        <v>213</v>
      </c>
      <c r="C118" s="38" t="s">
        <v>292</v>
      </c>
      <c r="D118" s="2"/>
      <c r="E118" s="2"/>
      <c r="F118" s="2"/>
    </row>
    <row r="119" spans="2:6" x14ac:dyDescent="0.25">
      <c r="B119" t="s">
        <v>213</v>
      </c>
      <c r="C119" s="38" t="s">
        <v>293</v>
      </c>
      <c r="D119" s="2"/>
      <c r="E119" s="2"/>
      <c r="F119" s="2"/>
    </row>
    <row r="120" spans="2:6" x14ac:dyDescent="0.25">
      <c r="B120" t="s">
        <v>213</v>
      </c>
      <c r="C120" s="3" t="s">
        <v>294</v>
      </c>
      <c r="D120" s="2"/>
      <c r="E120" s="2"/>
      <c r="F120" s="2"/>
    </row>
    <row r="121" spans="2:6" x14ac:dyDescent="0.25">
      <c r="B121" t="s">
        <v>213</v>
      </c>
      <c r="C121" s="3" t="s">
        <v>295</v>
      </c>
      <c r="D121" s="2"/>
      <c r="E121" s="2"/>
      <c r="F121" s="2"/>
    </row>
    <row r="122" spans="2:6" x14ac:dyDescent="0.25">
      <c r="B122" t="s">
        <v>213</v>
      </c>
      <c r="C122" s="3" t="s">
        <v>296</v>
      </c>
      <c r="D122" s="2"/>
      <c r="E122" s="2"/>
      <c r="F122" s="2"/>
    </row>
    <row r="123" spans="2:6" x14ac:dyDescent="0.25">
      <c r="B123" t="s">
        <v>213</v>
      </c>
      <c r="C123" s="3" t="s">
        <v>297</v>
      </c>
      <c r="D123" s="2"/>
      <c r="E123" s="2"/>
      <c r="F123" s="2"/>
    </row>
    <row r="124" spans="2:6" x14ac:dyDescent="0.25">
      <c r="B124" t="s">
        <v>213</v>
      </c>
      <c r="C124" s="3" t="s">
        <v>298</v>
      </c>
      <c r="D124" s="2"/>
      <c r="E124" s="2"/>
      <c r="F124" s="2"/>
    </row>
    <row r="125" spans="2:6" x14ac:dyDescent="0.25">
      <c r="B125" t="s">
        <v>213</v>
      </c>
      <c r="C125" s="3" t="s">
        <v>299</v>
      </c>
      <c r="D125" s="2"/>
      <c r="E125" s="2"/>
      <c r="F125" s="2"/>
    </row>
    <row r="126" spans="2:6" x14ac:dyDescent="0.25">
      <c r="B126" t="s">
        <v>213</v>
      </c>
      <c r="C126" s="3" t="s">
        <v>300</v>
      </c>
      <c r="D126" s="2"/>
      <c r="E126" s="2"/>
      <c r="F126" s="2"/>
    </row>
    <row r="127" spans="2:6" x14ac:dyDescent="0.25">
      <c r="B127" t="s">
        <v>213</v>
      </c>
      <c r="C127" s="3" t="s">
        <v>301</v>
      </c>
      <c r="D127" s="2"/>
      <c r="E127" s="2"/>
      <c r="F127" s="2"/>
    </row>
    <row r="128" spans="2:6" x14ac:dyDescent="0.25">
      <c r="B128" t="s">
        <v>213</v>
      </c>
      <c r="C128" s="3" t="s">
        <v>302</v>
      </c>
      <c r="D128" s="2"/>
      <c r="E128" s="2"/>
      <c r="F128" s="2"/>
    </row>
    <row r="129" spans="2:6" x14ac:dyDescent="0.25">
      <c r="B129" t="s">
        <v>213</v>
      </c>
      <c r="C129" s="3" t="s">
        <v>303</v>
      </c>
      <c r="D129" s="2"/>
      <c r="E129" s="2"/>
      <c r="F129" s="2"/>
    </row>
    <row r="130" spans="2:6" x14ac:dyDescent="0.25">
      <c r="B130" t="s">
        <v>213</v>
      </c>
      <c r="C130" s="3" t="s">
        <v>304</v>
      </c>
      <c r="D130" s="2"/>
      <c r="E130" s="2"/>
      <c r="F130" s="2"/>
    </row>
    <row r="131" spans="2:6" x14ac:dyDescent="0.25">
      <c r="B131" t="s">
        <v>213</v>
      </c>
      <c r="C131" s="3" t="s">
        <v>305</v>
      </c>
      <c r="D131" s="2"/>
      <c r="E131" s="2"/>
      <c r="F131" s="2"/>
    </row>
    <row r="132" spans="2:6" x14ac:dyDescent="0.25">
      <c r="B132" t="s">
        <v>213</v>
      </c>
      <c r="C132" s="3" t="s">
        <v>306</v>
      </c>
      <c r="D132" s="2"/>
      <c r="E132" s="2"/>
      <c r="F132" s="2"/>
    </row>
    <row r="133" spans="2:6" x14ac:dyDescent="0.25">
      <c r="B133" t="s">
        <v>213</v>
      </c>
      <c r="C133" s="3" t="s">
        <v>307</v>
      </c>
      <c r="D133" s="2"/>
      <c r="E133" s="2"/>
      <c r="F133" s="2"/>
    </row>
    <row r="134" spans="2:6" x14ac:dyDescent="0.25">
      <c r="B134" t="s">
        <v>213</v>
      </c>
      <c r="C134" s="3" t="s">
        <v>308</v>
      </c>
      <c r="D134" s="2"/>
      <c r="E134" s="2"/>
      <c r="F134" s="2"/>
    </row>
    <row r="135" spans="2:6" x14ac:dyDescent="0.25">
      <c r="B135" t="s">
        <v>213</v>
      </c>
      <c r="C135" s="3" t="s">
        <v>309</v>
      </c>
      <c r="D135" s="2"/>
      <c r="E135" s="2"/>
      <c r="F135" s="2"/>
    </row>
    <row r="136" spans="2:6" x14ac:dyDescent="0.25">
      <c r="B136" t="s">
        <v>213</v>
      </c>
      <c r="C136" s="3" t="s">
        <v>310</v>
      </c>
      <c r="D136" s="2"/>
      <c r="E136" s="2"/>
      <c r="F136" s="2"/>
    </row>
    <row r="137" spans="2:6" x14ac:dyDescent="0.25">
      <c r="B137" t="s">
        <v>213</v>
      </c>
      <c r="C137" s="39" t="s">
        <v>311</v>
      </c>
      <c r="D137" s="2"/>
      <c r="E137" s="2"/>
      <c r="F137" s="2"/>
    </row>
    <row r="138" spans="2:6" x14ac:dyDescent="0.25">
      <c r="B138" t="s">
        <v>213</v>
      </c>
      <c r="C138" s="35" t="s">
        <v>312</v>
      </c>
      <c r="D138" s="2"/>
      <c r="E138" s="2"/>
      <c r="F138" s="2"/>
    </row>
    <row r="139" spans="2:6" x14ac:dyDescent="0.25">
      <c r="B139" t="s">
        <v>213</v>
      </c>
      <c r="C139" s="35" t="s">
        <v>313</v>
      </c>
      <c r="D139" s="2"/>
      <c r="E139" s="2"/>
      <c r="F139" s="2"/>
    </row>
    <row r="140" spans="2:6" x14ac:dyDescent="0.25">
      <c r="B140" t="s">
        <v>213</v>
      </c>
      <c r="C140" s="35" t="s">
        <v>314</v>
      </c>
      <c r="D140" s="2"/>
      <c r="E140" s="2"/>
      <c r="F140" s="2"/>
    </row>
    <row r="141" spans="2:6" x14ac:dyDescent="0.25">
      <c r="B141" t="s">
        <v>213</v>
      </c>
      <c r="C141" s="33" t="s">
        <v>315</v>
      </c>
      <c r="D141" s="2"/>
      <c r="E141" s="2"/>
      <c r="F141" s="2"/>
    </row>
    <row r="142" spans="2:6" x14ac:dyDescent="0.25">
      <c r="B142" t="s">
        <v>213</v>
      </c>
      <c r="C142" s="3" t="s">
        <v>316</v>
      </c>
      <c r="D142" s="2"/>
      <c r="E142" s="2"/>
      <c r="F142" s="2"/>
    </row>
    <row r="143" spans="2:6" x14ac:dyDescent="0.25">
      <c r="B143" t="s">
        <v>213</v>
      </c>
      <c r="C143" s="3" t="s">
        <v>347</v>
      </c>
      <c r="D143" s="2"/>
      <c r="E143" s="33" t="s">
        <v>348</v>
      </c>
      <c r="F143" s="37" t="s">
        <v>317</v>
      </c>
    </row>
    <row r="144" spans="2:6" x14ac:dyDescent="0.25">
      <c r="B144" s="2"/>
      <c r="C144" s="2"/>
      <c r="D144" s="2"/>
      <c r="E144" s="2"/>
      <c r="F144" s="2"/>
    </row>
    <row r="145" spans="2:6" x14ac:dyDescent="0.25">
      <c r="B145" s="2"/>
      <c r="C145" s="2"/>
      <c r="D145" s="2"/>
      <c r="E145" s="2"/>
      <c r="F145" s="2"/>
    </row>
    <row r="146" spans="2:6" x14ac:dyDescent="0.25">
      <c r="B146" s="2"/>
      <c r="C146" s="2"/>
      <c r="D146" s="2"/>
      <c r="E146" s="2"/>
      <c r="F146" s="2"/>
    </row>
    <row r="147" spans="2:6" x14ac:dyDescent="0.25">
      <c r="B147" s="2"/>
      <c r="C147" s="2"/>
      <c r="D147" s="2"/>
      <c r="E147" s="2"/>
      <c r="F147" s="2"/>
    </row>
    <row r="148" spans="2:6" x14ac:dyDescent="0.25">
      <c r="B148" s="2"/>
      <c r="C148" s="2"/>
      <c r="D148" s="2"/>
      <c r="E148" s="2"/>
      <c r="F148" s="2"/>
    </row>
    <row r="149" spans="2:6" x14ac:dyDescent="0.25">
      <c r="B149" s="2"/>
      <c r="C149" s="2"/>
      <c r="D149" s="2"/>
      <c r="E149" s="2"/>
      <c r="F149" s="2"/>
    </row>
    <row r="150" spans="2:6" x14ac:dyDescent="0.25">
      <c r="B150" s="2"/>
      <c r="C150" s="2"/>
      <c r="D150" s="2"/>
      <c r="E150" s="2"/>
    </row>
    <row r="151" spans="2:6" x14ac:dyDescent="0.25">
      <c r="B151" s="2"/>
      <c r="C151" s="2"/>
      <c r="D151" s="2"/>
      <c r="E151" s="2"/>
    </row>
    <row r="152" spans="2:6" x14ac:dyDescent="0.25">
      <c r="B152" s="2"/>
      <c r="C152" s="2"/>
      <c r="D152" s="2"/>
      <c r="E152" s="2"/>
    </row>
    <row r="153" spans="2:6" x14ac:dyDescent="0.25">
      <c r="B153" s="2"/>
      <c r="C153" s="2"/>
      <c r="D153" s="2"/>
      <c r="E153" s="2"/>
    </row>
    <row r="154" spans="2:6" x14ac:dyDescent="0.25">
      <c r="B154" s="2"/>
      <c r="C154" s="2"/>
      <c r="D154" s="2"/>
      <c r="E154" s="2"/>
    </row>
    <row r="155" spans="2:6" x14ac:dyDescent="0.25">
      <c r="B155" s="2"/>
      <c r="C155" s="2"/>
      <c r="D155" s="2"/>
      <c r="E155" s="2"/>
    </row>
    <row r="156" spans="2:6" x14ac:dyDescent="0.25">
      <c r="B156" s="2"/>
      <c r="C156" s="2"/>
      <c r="D156" s="2"/>
      <c r="E156" s="2"/>
    </row>
    <row r="157" spans="2:6" x14ac:dyDescent="0.25">
      <c r="B157" s="2"/>
      <c r="C157" s="2"/>
      <c r="D157" s="2"/>
      <c r="E157" s="2"/>
    </row>
    <row r="158" spans="2:6" x14ac:dyDescent="0.25">
      <c r="B158" s="2"/>
      <c r="C158" s="2"/>
      <c r="D158" s="2"/>
      <c r="E158" s="2"/>
    </row>
    <row r="159" spans="2:6" x14ac:dyDescent="0.25">
      <c r="B159" s="2"/>
      <c r="C159" s="2"/>
      <c r="D159" s="2"/>
      <c r="E159" s="2"/>
    </row>
    <row r="160" spans="2:6" x14ac:dyDescent="0.25">
      <c r="B160" s="2"/>
      <c r="C160" s="2"/>
      <c r="D160" s="2"/>
      <c r="E160" s="2"/>
    </row>
    <row r="161" spans="2:5" x14ac:dyDescent="0.25">
      <c r="B161" s="2"/>
      <c r="C161" s="2"/>
      <c r="D161" s="2"/>
      <c r="E161" s="2"/>
    </row>
    <row r="162" spans="2:5" x14ac:dyDescent="0.25">
      <c r="B162" s="2"/>
      <c r="C162" s="2"/>
      <c r="D162" s="2"/>
      <c r="E162" s="2"/>
    </row>
    <row r="163" spans="2:5" x14ac:dyDescent="0.25">
      <c r="B163" s="2"/>
      <c r="C163" s="2"/>
      <c r="D163" s="2"/>
      <c r="E163" s="2"/>
    </row>
    <row r="164" spans="2:5" x14ac:dyDescent="0.25">
      <c r="B164" s="2"/>
      <c r="C164" s="2"/>
      <c r="D164" s="2"/>
      <c r="E164" s="2"/>
    </row>
    <row r="165" spans="2:5" x14ac:dyDescent="0.25">
      <c r="B165" s="2"/>
      <c r="C165" s="2"/>
      <c r="D165" s="2"/>
      <c r="E165" s="2"/>
    </row>
    <row r="166" spans="2:5" x14ac:dyDescent="0.25">
      <c r="B166" s="2"/>
      <c r="C166" s="2"/>
      <c r="D166" s="2"/>
      <c r="E166" s="2"/>
    </row>
    <row r="167" spans="2:5" x14ac:dyDescent="0.25">
      <c r="B167" s="2"/>
      <c r="C167" s="2"/>
      <c r="D167" s="2"/>
      <c r="E167" s="2"/>
    </row>
    <row r="168" spans="2:5" x14ac:dyDescent="0.25">
      <c r="B168" s="2"/>
      <c r="C168" s="2"/>
      <c r="D168" s="2"/>
      <c r="E168" s="2"/>
    </row>
    <row r="169" spans="2:5" x14ac:dyDescent="0.25">
      <c r="B169" s="2"/>
      <c r="C169" s="2"/>
      <c r="D169" s="2"/>
      <c r="E169" s="2"/>
    </row>
    <row r="170" spans="2:5" x14ac:dyDescent="0.25">
      <c r="B170" s="2"/>
      <c r="C170" s="2"/>
      <c r="D170" s="2"/>
      <c r="E170" s="2"/>
    </row>
    <row r="171" spans="2:5" x14ac:dyDescent="0.25">
      <c r="B171" s="2"/>
      <c r="C171" s="2"/>
      <c r="D171" s="2"/>
      <c r="E171" s="2"/>
    </row>
    <row r="172" spans="2:5" x14ac:dyDescent="0.25">
      <c r="B172" s="2"/>
      <c r="C172" s="2"/>
      <c r="D172" s="2"/>
      <c r="E172" s="2"/>
    </row>
    <row r="173" spans="2:5" x14ac:dyDescent="0.25">
      <c r="B173" s="2"/>
      <c r="C173" s="2"/>
      <c r="D173" s="2"/>
      <c r="E173" s="2"/>
    </row>
    <row r="174" spans="2:5" x14ac:dyDescent="0.25">
      <c r="B174" s="2"/>
      <c r="C174" s="2"/>
      <c r="D174" s="2"/>
      <c r="E174" s="2"/>
    </row>
    <row r="175" spans="2:5" x14ac:dyDescent="0.25">
      <c r="B175" s="2"/>
      <c r="C175" s="2"/>
      <c r="D175" s="2"/>
      <c r="E175" s="2"/>
    </row>
    <row r="176" spans="2:5" x14ac:dyDescent="0.25">
      <c r="B176" s="2"/>
      <c r="C176" s="2"/>
      <c r="D176" s="2"/>
      <c r="E176" s="2"/>
    </row>
    <row r="177" spans="2:5" x14ac:dyDescent="0.25">
      <c r="B177" s="2"/>
      <c r="C177" s="2"/>
      <c r="D177" s="2"/>
      <c r="E177" s="2"/>
    </row>
    <row r="178" spans="2:5" x14ac:dyDescent="0.25">
      <c r="B178" s="2"/>
      <c r="C178" s="2"/>
      <c r="D178" s="2"/>
      <c r="E178" s="2"/>
    </row>
    <row r="179" spans="2:5" x14ac:dyDescent="0.25">
      <c r="B179" s="2"/>
      <c r="C179" s="2"/>
      <c r="D179" s="2"/>
      <c r="E179" s="2"/>
    </row>
    <row r="180" spans="2:5" x14ac:dyDescent="0.25">
      <c r="B180" s="2"/>
      <c r="C180" s="2"/>
      <c r="D180" s="2"/>
      <c r="E180" s="2"/>
    </row>
    <row r="181" spans="2:5" x14ac:dyDescent="0.25">
      <c r="B181" s="2"/>
      <c r="C181" s="2"/>
      <c r="D181" s="2"/>
      <c r="E181" s="2"/>
    </row>
    <row r="182" spans="2:5" x14ac:dyDescent="0.25">
      <c r="B182" s="2"/>
      <c r="C182" s="2"/>
      <c r="D182" s="2"/>
      <c r="E182" s="2"/>
    </row>
    <row r="183" spans="2:5" x14ac:dyDescent="0.25">
      <c r="B183" s="2"/>
      <c r="C183" s="2"/>
      <c r="D183" s="2"/>
      <c r="E183" s="2"/>
    </row>
    <row r="184" spans="2:5" x14ac:dyDescent="0.25">
      <c r="B184" s="2"/>
      <c r="C184" s="2"/>
      <c r="D184" s="2"/>
      <c r="E184" s="2"/>
    </row>
    <row r="185" spans="2:5" x14ac:dyDescent="0.25">
      <c r="B185" s="2"/>
      <c r="C185" s="2"/>
      <c r="D185" s="2"/>
      <c r="E185" s="2"/>
    </row>
    <row r="186" spans="2:5" x14ac:dyDescent="0.25">
      <c r="B186" s="2"/>
      <c r="C186" s="2"/>
      <c r="D186" s="2"/>
      <c r="E186" s="2"/>
    </row>
    <row r="187" spans="2:5" x14ac:dyDescent="0.25">
      <c r="B187" s="2"/>
      <c r="C187" s="2"/>
      <c r="D187" s="2"/>
      <c r="E187" s="2"/>
    </row>
    <row r="188" spans="2:5" x14ac:dyDescent="0.25">
      <c r="B188" s="2"/>
      <c r="C188" s="2"/>
      <c r="D188" s="2"/>
      <c r="E188" s="2"/>
    </row>
    <row r="189" spans="2:5" x14ac:dyDescent="0.25">
      <c r="B189" s="2"/>
      <c r="C189" s="2"/>
      <c r="D189" s="2"/>
      <c r="E189" s="2"/>
    </row>
    <row r="190" spans="2:5" x14ac:dyDescent="0.25">
      <c r="B190" s="2"/>
      <c r="C190" s="2"/>
      <c r="D190" s="2"/>
      <c r="E190" s="2"/>
    </row>
  </sheetData>
  <autoFilter ref="B2:F143"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7"/>
  <sheetViews>
    <sheetView workbookViewId="0">
      <selection activeCell="D37" sqref="D37"/>
    </sheetView>
    <sheetView workbookViewId="1"/>
  </sheetViews>
  <sheetFormatPr defaultRowHeight="15" x14ac:dyDescent="0.25"/>
  <cols>
    <col min="1" max="1" width="8.85546875" bestFit="1" customWidth="1"/>
    <col min="2" max="2" width="24.28515625" customWidth="1"/>
    <col min="3" max="3" width="40" customWidth="1"/>
    <col min="4" max="4" width="49.5703125" customWidth="1"/>
    <col min="5" max="5" width="40.5703125" customWidth="1"/>
    <col min="6" max="6" width="29.42578125" customWidth="1"/>
  </cols>
  <sheetData>
    <row r="1" spans="1:7" x14ac:dyDescent="0.25">
      <c r="A1" s="48" t="s">
        <v>172</v>
      </c>
      <c r="B1" s="17"/>
      <c r="C1" s="17"/>
      <c r="D1" s="17"/>
      <c r="E1" s="17"/>
      <c r="G1" s="1"/>
    </row>
    <row r="2" spans="1:7" x14ac:dyDescent="0.25">
      <c r="A2" s="49"/>
      <c r="B2" s="19"/>
      <c r="C2" s="19"/>
      <c r="D2" s="19"/>
      <c r="E2" s="19"/>
      <c r="G2" s="7"/>
    </row>
    <row r="3" spans="1:7" x14ac:dyDescent="0.25">
      <c r="A3" s="50" t="s">
        <v>186</v>
      </c>
      <c r="B3" s="2"/>
      <c r="C3" s="2"/>
      <c r="D3" s="2"/>
      <c r="E3" s="2"/>
      <c r="G3" s="2"/>
    </row>
    <row r="4" spans="1:7" x14ac:dyDescent="0.25">
      <c r="A4" s="2"/>
      <c r="C4" s="2"/>
      <c r="D4" s="2"/>
      <c r="E4" s="2"/>
      <c r="G4" s="1"/>
    </row>
    <row r="5" spans="1:7" x14ac:dyDescent="0.25">
      <c r="C5" s="2"/>
      <c r="D5" s="2"/>
      <c r="E5" s="2"/>
      <c r="G5" s="2"/>
    </row>
    <row r="6" spans="1:7" x14ac:dyDescent="0.25">
      <c r="C6" s="17" t="s">
        <v>2</v>
      </c>
      <c r="D6" s="25" t="s">
        <v>210</v>
      </c>
      <c r="E6" s="25" t="s">
        <v>194</v>
      </c>
      <c r="F6" s="2"/>
      <c r="G6" s="1"/>
    </row>
    <row r="7" spans="1:7" x14ac:dyDescent="0.25">
      <c r="A7">
        <v>1</v>
      </c>
      <c r="B7" s="100" t="s">
        <v>0</v>
      </c>
      <c r="C7" s="2" t="s">
        <v>17</v>
      </c>
      <c r="D7" s="26" t="s">
        <v>173</v>
      </c>
      <c r="E7" s="2" t="s">
        <v>196</v>
      </c>
      <c r="F7" s="2" t="s">
        <v>173</v>
      </c>
      <c r="G7" s="1"/>
    </row>
    <row r="8" spans="1:7" ht="30" x14ac:dyDescent="0.25">
      <c r="A8">
        <v>2</v>
      </c>
      <c r="B8" s="100"/>
      <c r="C8" s="2" t="s">
        <v>29</v>
      </c>
      <c r="D8" s="26" t="s">
        <v>189</v>
      </c>
      <c r="E8" s="2" t="s">
        <v>197</v>
      </c>
      <c r="F8" s="2" t="s">
        <v>185</v>
      </c>
      <c r="G8" s="1"/>
    </row>
    <row r="9" spans="1:7" x14ac:dyDescent="0.25">
      <c r="A9">
        <v>3</v>
      </c>
      <c r="B9" s="100"/>
      <c r="C9" s="2" t="s">
        <v>18</v>
      </c>
      <c r="D9" s="26" t="s">
        <v>187</v>
      </c>
      <c r="E9" s="2" t="s">
        <v>195</v>
      </c>
      <c r="F9" s="2" t="s">
        <v>187</v>
      </c>
      <c r="G9" s="1"/>
    </row>
    <row r="10" spans="1:7" x14ac:dyDescent="0.25">
      <c r="A10">
        <v>4</v>
      </c>
      <c r="B10" s="100"/>
      <c r="C10" s="2" t="s">
        <v>17</v>
      </c>
      <c r="D10" s="26" t="s">
        <v>174</v>
      </c>
      <c r="E10" s="2" t="s">
        <v>183</v>
      </c>
      <c r="F10" s="2" t="s">
        <v>183</v>
      </c>
      <c r="G10" s="1"/>
    </row>
    <row r="11" spans="1:7" x14ac:dyDescent="0.25">
      <c r="A11">
        <v>5</v>
      </c>
      <c r="B11" s="100"/>
      <c r="C11" s="2" t="s">
        <v>204</v>
      </c>
      <c r="D11" s="26" t="s">
        <v>175</v>
      </c>
      <c r="E11" s="2" t="s">
        <v>175</v>
      </c>
      <c r="F11" s="2" t="s">
        <v>175</v>
      </c>
      <c r="G11" s="1"/>
    </row>
    <row r="12" spans="1:7" ht="30" x14ac:dyDescent="0.25">
      <c r="A12">
        <v>6</v>
      </c>
      <c r="B12" s="101" t="s">
        <v>4</v>
      </c>
      <c r="C12" s="2" t="s">
        <v>20</v>
      </c>
      <c r="D12" s="26" t="s">
        <v>188</v>
      </c>
      <c r="E12" s="2" t="s">
        <v>176</v>
      </c>
      <c r="F12" s="2" t="s">
        <v>176</v>
      </c>
      <c r="G12" s="1"/>
    </row>
    <row r="13" spans="1:7" x14ac:dyDescent="0.25">
      <c r="A13">
        <v>7</v>
      </c>
      <c r="B13" s="101"/>
      <c r="C13" s="2" t="s">
        <v>19</v>
      </c>
      <c r="D13" s="26" t="s">
        <v>209</v>
      </c>
      <c r="E13" s="2" t="s">
        <v>177</v>
      </c>
      <c r="F13" s="2" t="s">
        <v>177</v>
      </c>
      <c r="G13" s="1"/>
    </row>
    <row r="14" spans="1:7" x14ac:dyDescent="0.25">
      <c r="A14">
        <v>8</v>
      </c>
      <c r="B14" s="101"/>
      <c r="C14" s="2" t="s">
        <v>21</v>
      </c>
      <c r="G14" s="1"/>
    </row>
    <row r="15" spans="1:7" x14ac:dyDescent="0.25">
      <c r="A15">
        <v>9</v>
      </c>
      <c r="B15" s="102" t="s">
        <v>5</v>
      </c>
      <c r="C15" s="2" t="s">
        <v>22</v>
      </c>
      <c r="D15" s="26"/>
      <c r="E15" s="2" t="s">
        <v>198</v>
      </c>
      <c r="F15" s="3" t="s">
        <v>184</v>
      </c>
      <c r="G15" s="1"/>
    </row>
    <row r="16" spans="1:7" x14ac:dyDescent="0.25">
      <c r="A16">
        <v>10</v>
      </c>
      <c r="B16" s="102"/>
      <c r="C16" s="2" t="s">
        <v>23</v>
      </c>
      <c r="D16" s="27" t="s">
        <v>190</v>
      </c>
      <c r="E16" s="3" t="s">
        <v>200</v>
      </c>
      <c r="F16" s="2" t="s">
        <v>178</v>
      </c>
      <c r="G16" s="1"/>
    </row>
    <row r="17" spans="1:7" x14ac:dyDescent="0.25">
      <c r="A17">
        <v>11</v>
      </c>
      <c r="B17" s="102"/>
      <c r="C17" s="20"/>
      <c r="F17" s="2" t="s">
        <v>205</v>
      </c>
      <c r="G17" s="1"/>
    </row>
    <row r="18" spans="1:7" x14ac:dyDescent="0.25">
      <c r="A18">
        <v>12</v>
      </c>
      <c r="B18" s="103" t="s">
        <v>6</v>
      </c>
      <c r="C18" s="2" t="s">
        <v>206</v>
      </c>
      <c r="D18" s="26" t="s">
        <v>191</v>
      </c>
      <c r="E18" s="2" t="s">
        <v>179</v>
      </c>
      <c r="F18" s="2" t="s">
        <v>179</v>
      </c>
      <c r="G18" s="1"/>
    </row>
    <row r="19" spans="1:7" x14ac:dyDescent="0.25">
      <c r="A19">
        <v>13</v>
      </c>
      <c r="B19" s="103"/>
      <c r="D19" s="26" t="s">
        <v>180</v>
      </c>
      <c r="E19" s="2" t="s">
        <v>180</v>
      </c>
      <c r="F19" s="2" t="s">
        <v>180</v>
      </c>
      <c r="G19" s="1"/>
    </row>
    <row r="20" spans="1:7" x14ac:dyDescent="0.25">
      <c r="A20">
        <v>14</v>
      </c>
      <c r="B20" s="103"/>
      <c r="C20" s="2" t="s">
        <v>192</v>
      </c>
      <c r="D20" s="26" t="s">
        <v>192</v>
      </c>
      <c r="E20" s="2" t="s">
        <v>181</v>
      </c>
      <c r="F20" s="2" t="s">
        <v>181</v>
      </c>
      <c r="G20" s="1"/>
    </row>
    <row r="21" spans="1:7" x14ac:dyDescent="0.25">
      <c r="A21">
        <v>15</v>
      </c>
      <c r="B21" s="104" t="s">
        <v>7</v>
      </c>
      <c r="C21" s="2" t="s">
        <v>207</v>
      </c>
      <c r="D21" s="26" t="s">
        <v>193</v>
      </c>
      <c r="E21" s="2" t="s">
        <v>199</v>
      </c>
      <c r="F21" s="2" t="s">
        <v>182</v>
      </c>
      <c r="G21" s="1"/>
    </row>
    <row r="22" spans="1:7" x14ac:dyDescent="0.25">
      <c r="A22">
        <v>16</v>
      </c>
      <c r="B22" s="104"/>
      <c r="C22" s="2" t="s">
        <v>208</v>
      </c>
      <c r="D22" s="2"/>
      <c r="E22" s="2" t="s">
        <v>193</v>
      </c>
      <c r="F22" s="2"/>
      <c r="G22" s="1"/>
    </row>
    <row r="23" spans="1:7" x14ac:dyDescent="0.25">
      <c r="B23" s="2"/>
      <c r="C23" s="2"/>
      <c r="D23" s="2"/>
      <c r="E23" s="2"/>
      <c r="G23" s="2"/>
    </row>
    <row r="24" spans="1:7" x14ac:dyDescent="0.25">
      <c r="B24" s="2"/>
      <c r="C24" s="2"/>
      <c r="D24" s="2"/>
      <c r="E24" s="2"/>
      <c r="G24" s="2"/>
    </row>
    <row r="25" spans="1:7" x14ac:dyDescent="0.25">
      <c r="B25" s="2"/>
      <c r="C25" s="2"/>
      <c r="D25" s="2"/>
      <c r="E25" s="2"/>
      <c r="G25" s="2"/>
    </row>
    <row r="26" spans="1:7" x14ac:dyDescent="0.25">
      <c r="B26" s="2"/>
      <c r="C26" s="2"/>
      <c r="D26" s="2"/>
      <c r="E26" s="2"/>
      <c r="G26" s="2"/>
    </row>
    <row r="27" spans="1:7" x14ac:dyDescent="0.25">
      <c r="B27" s="2"/>
      <c r="D27" s="2"/>
      <c r="E27" s="2"/>
      <c r="G27" s="2"/>
    </row>
    <row r="28" spans="1:7" x14ac:dyDescent="0.25">
      <c r="B28" s="2"/>
      <c r="C28" s="2"/>
      <c r="D28" s="2"/>
      <c r="E28" s="2"/>
      <c r="G28" s="2"/>
    </row>
    <row r="29" spans="1:7" x14ac:dyDescent="0.25">
      <c r="B29" s="2"/>
      <c r="C29" s="2"/>
      <c r="D29" s="2"/>
      <c r="E29" s="2"/>
      <c r="G29" s="2"/>
    </row>
    <row r="30" spans="1:7" ht="30" x14ac:dyDescent="0.25">
      <c r="A30" s="2"/>
      <c r="B30" s="24" t="s">
        <v>319</v>
      </c>
      <c r="C30" s="2"/>
      <c r="D30" s="2"/>
      <c r="E30" s="2"/>
      <c r="G30" s="2"/>
    </row>
    <row r="31" spans="1:7" x14ac:dyDescent="0.25">
      <c r="B31" t="s">
        <v>320</v>
      </c>
      <c r="C31" s="2"/>
      <c r="D31" s="2"/>
      <c r="E31" s="2"/>
      <c r="G31" s="2"/>
    </row>
    <row r="32" spans="1:7" x14ac:dyDescent="0.25">
      <c r="B32" t="s">
        <v>321</v>
      </c>
      <c r="C32" s="2"/>
      <c r="D32" s="2"/>
      <c r="E32" s="2"/>
      <c r="G32" s="2"/>
    </row>
    <row r="33" spans="2:7" x14ac:dyDescent="0.25">
      <c r="B33" t="s">
        <v>322</v>
      </c>
      <c r="C33" s="2"/>
      <c r="D33" s="2"/>
      <c r="E33" s="2"/>
      <c r="G33" s="2"/>
    </row>
    <row r="34" spans="2:7" x14ac:dyDescent="0.25">
      <c r="B34" t="s">
        <v>323</v>
      </c>
      <c r="C34" s="2"/>
      <c r="E34" s="2"/>
      <c r="G34" s="2"/>
    </row>
    <row r="35" spans="2:7" x14ac:dyDescent="0.25">
      <c r="B35" t="s">
        <v>345</v>
      </c>
      <c r="C35" s="2"/>
      <c r="D35" s="2"/>
      <c r="E35" s="2"/>
      <c r="G35" s="2"/>
    </row>
    <row r="36" spans="2:7" x14ac:dyDescent="0.25">
      <c r="B36" t="s">
        <v>324</v>
      </c>
      <c r="C36" s="2"/>
      <c r="D36" s="2"/>
      <c r="E36" s="2"/>
      <c r="G36" s="2"/>
    </row>
    <row r="37" spans="2:7" x14ac:dyDescent="0.25">
      <c r="B37" t="s">
        <v>325</v>
      </c>
      <c r="C37" s="2"/>
      <c r="D37" s="2"/>
      <c r="E37" s="2"/>
      <c r="G37" s="2"/>
    </row>
    <row r="38" spans="2:7" x14ac:dyDescent="0.25">
      <c r="B38" t="s">
        <v>326</v>
      </c>
      <c r="C38" s="2"/>
      <c r="D38" s="2"/>
      <c r="E38" s="2"/>
      <c r="G38" s="2"/>
    </row>
    <row r="39" spans="2:7" x14ac:dyDescent="0.25">
      <c r="B39" t="s">
        <v>327</v>
      </c>
      <c r="C39" s="2"/>
      <c r="D39" s="2"/>
      <c r="E39" s="2"/>
      <c r="G39" s="2"/>
    </row>
    <row r="40" spans="2:7" x14ac:dyDescent="0.25">
      <c r="B40" t="s">
        <v>328</v>
      </c>
      <c r="C40" s="2"/>
      <c r="D40" s="2"/>
      <c r="E40" s="2"/>
      <c r="G40" s="2"/>
    </row>
    <row r="41" spans="2:7" x14ac:dyDescent="0.25">
      <c r="B41" t="s">
        <v>333</v>
      </c>
      <c r="C41" s="2"/>
      <c r="D41" s="2"/>
      <c r="E41" s="2"/>
      <c r="G41" s="2"/>
    </row>
    <row r="42" spans="2:7" x14ac:dyDescent="0.25">
      <c r="B42" t="s">
        <v>329</v>
      </c>
      <c r="C42" s="2"/>
      <c r="D42" s="2"/>
      <c r="E42" s="2"/>
      <c r="G42" s="1"/>
    </row>
    <row r="43" spans="2:7" x14ac:dyDescent="0.25">
      <c r="B43" t="s">
        <v>330</v>
      </c>
      <c r="C43" s="2"/>
      <c r="D43" s="2"/>
      <c r="E43" s="2"/>
      <c r="G43" s="2"/>
    </row>
    <row r="44" spans="2:7" x14ac:dyDescent="0.25">
      <c r="B44" t="s">
        <v>331</v>
      </c>
      <c r="C44" s="2"/>
      <c r="D44" s="2"/>
      <c r="E44" s="2"/>
      <c r="G44" s="2"/>
    </row>
    <row r="45" spans="2:7" x14ac:dyDescent="0.25">
      <c r="B45" t="s">
        <v>346</v>
      </c>
      <c r="C45" s="2"/>
      <c r="D45" s="2"/>
      <c r="E45" s="2"/>
      <c r="G45" s="2"/>
    </row>
    <row r="46" spans="2:7" x14ac:dyDescent="0.25">
      <c r="B46" t="s">
        <v>332</v>
      </c>
      <c r="C46" s="2"/>
      <c r="D46" s="2"/>
      <c r="E46" s="2"/>
      <c r="G46" s="2"/>
    </row>
    <row r="47" spans="2:7" x14ac:dyDescent="0.25">
      <c r="B47" t="s">
        <v>334</v>
      </c>
      <c r="C47" s="2"/>
      <c r="D47" s="2"/>
      <c r="E47" s="2"/>
      <c r="G47" s="2"/>
    </row>
    <row r="48" spans="2:7" x14ac:dyDescent="0.25">
      <c r="B48" t="s">
        <v>335</v>
      </c>
      <c r="C48" s="2"/>
      <c r="D48" s="2"/>
      <c r="E48" s="2"/>
      <c r="G48" s="2"/>
    </row>
    <row r="49" spans="1:7" x14ac:dyDescent="0.25">
      <c r="B49" t="s">
        <v>336</v>
      </c>
      <c r="C49" s="2"/>
      <c r="D49" s="2"/>
      <c r="E49" s="2"/>
      <c r="G49" s="2"/>
    </row>
    <row r="50" spans="1:7" x14ac:dyDescent="0.25">
      <c r="B50" t="s">
        <v>337</v>
      </c>
      <c r="C50" s="2"/>
      <c r="D50" s="2"/>
      <c r="E50" s="2"/>
      <c r="G50" s="1"/>
    </row>
    <row r="51" spans="1:7" x14ac:dyDescent="0.25">
      <c r="B51" t="s">
        <v>338</v>
      </c>
      <c r="C51" s="2"/>
      <c r="D51" s="2"/>
      <c r="E51" s="2"/>
      <c r="G51" s="2"/>
    </row>
    <row r="52" spans="1:7" x14ac:dyDescent="0.25">
      <c r="B52" t="s">
        <v>339</v>
      </c>
      <c r="C52" s="2"/>
      <c r="D52" s="2"/>
      <c r="E52" s="2"/>
      <c r="G52" s="2"/>
    </row>
    <row r="53" spans="1:7" x14ac:dyDescent="0.25">
      <c r="B53" t="s">
        <v>340</v>
      </c>
      <c r="C53" s="2"/>
      <c r="D53" s="2"/>
      <c r="E53" s="2"/>
      <c r="G53" s="1"/>
    </row>
    <row r="54" spans="1:7" x14ac:dyDescent="0.25">
      <c r="B54" t="s">
        <v>341</v>
      </c>
      <c r="C54" s="2"/>
      <c r="D54" s="2"/>
      <c r="E54" s="2"/>
      <c r="G54" s="2"/>
    </row>
    <row r="55" spans="1:7" x14ac:dyDescent="0.25">
      <c r="B55" t="s">
        <v>342</v>
      </c>
      <c r="C55" s="2"/>
      <c r="D55" s="2"/>
      <c r="E55" s="2"/>
      <c r="G55" s="2"/>
    </row>
    <row r="56" spans="1:7" x14ac:dyDescent="0.25">
      <c r="B56" t="s">
        <v>343</v>
      </c>
      <c r="C56" s="2"/>
      <c r="D56" s="2"/>
      <c r="E56" s="2"/>
      <c r="G56" s="2"/>
    </row>
    <row r="57" spans="1:7" x14ac:dyDescent="0.25">
      <c r="A57" s="2"/>
      <c r="B57" t="s">
        <v>344</v>
      </c>
      <c r="C57" s="2"/>
      <c r="D57" s="2"/>
      <c r="E57" s="2"/>
      <c r="G57" s="2"/>
    </row>
  </sheetData>
  <mergeCells count="5">
    <mergeCell ref="B7:B11"/>
    <mergeCell ref="B12:B14"/>
    <mergeCell ref="B15:B17"/>
    <mergeCell ref="B18:B20"/>
    <mergeCell ref="B21:B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1E449-1102-40D0-BF5F-447881423FA1}">
  <sheetPr>
    <tabColor rgb="FF00B050"/>
  </sheetPr>
  <dimension ref="A1:F3"/>
  <sheetViews>
    <sheetView workbookViewId="0">
      <selection activeCell="J41" sqref="J41"/>
    </sheetView>
    <sheetView workbookViewId="1"/>
  </sheetViews>
  <sheetFormatPr defaultRowHeight="15" x14ac:dyDescent="0.25"/>
  <sheetData>
    <row r="1" spans="1:6" x14ac:dyDescent="0.25">
      <c r="A1" s="96" t="s">
        <v>761</v>
      </c>
      <c r="B1" s="96"/>
      <c r="C1" s="96"/>
      <c r="D1" s="96"/>
      <c r="E1" s="96"/>
    </row>
    <row r="2" spans="1:6" x14ac:dyDescent="0.25">
      <c r="A2" s="96" t="s">
        <v>760</v>
      </c>
      <c r="B2" s="96"/>
      <c r="C2" s="96"/>
      <c r="D2" s="96"/>
      <c r="E2" s="96"/>
    </row>
    <row r="3" spans="1:6" x14ac:dyDescent="0.25">
      <c r="A3" s="97" t="s">
        <v>762</v>
      </c>
      <c r="B3" s="97"/>
      <c r="C3" s="97"/>
      <c r="D3" s="97"/>
      <c r="E3" s="97"/>
      <c r="F3" s="9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57D16-73A3-4F6E-B04B-4E242565B189}">
  <sheetPr>
    <tabColor rgb="FF00B050"/>
  </sheetPr>
  <dimension ref="A1:J41"/>
  <sheetViews>
    <sheetView zoomScale="80" zoomScaleNormal="80" workbookViewId="0">
      <selection activeCell="E6" sqref="E6"/>
    </sheetView>
    <sheetView workbookViewId="1"/>
  </sheetViews>
  <sheetFormatPr defaultRowHeight="15" x14ac:dyDescent="0.25"/>
  <cols>
    <col min="3" max="3" width="22.7109375" customWidth="1"/>
    <col min="4" max="4" width="21.28515625" customWidth="1"/>
    <col min="5" max="5" width="71.28515625" customWidth="1"/>
    <col min="6" max="6" width="31.85546875" customWidth="1"/>
    <col min="7" max="7" width="32.85546875" customWidth="1"/>
    <col min="8" max="8" width="46" customWidth="1"/>
  </cols>
  <sheetData>
    <row r="1" spans="1:10" ht="30" x14ac:dyDescent="0.25">
      <c r="A1" s="52" t="s">
        <v>729</v>
      </c>
      <c r="B1" s="52" t="s">
        <v>1</v>
      </c>
      <c r="C1" s="52" t="s">
        <v>2</v>
      </c>
      <c r="D1" s="52" t="s">
        <v>395</v>
      </c>
      <c r="E1" s="52" t="s">
        <v>350</v>
      </c>
      <c r="F1" s="52" t="s">
        <v>142</v>
      </c>
      <c r="G1" s="52" t="s">
        <v>10</v>
      </c>
      <c r="H1" s="52" t="s">
        <v>429</v>
      </c>
      <c r="I1" s="52" t="s">
        <v>763</v>
      </c>
      <c r="J1" s="52" t="s">
        <v>9</v>
      </c>
    </row>
    <row r="2" spans="1:10" ht="120" x14ac:dyDescent="0.25">
      <c r="A2" t="s">
        <v>690</v>
      </c>
      <c r="B2" s="58" t="s">
        <v>0</v>
      </c>
      <c r="C2" s="2" t="s">
        <v>500</v>
      </c>
      <c r="D2" s="8" t="s">
        <v>549</v>
      </c>
      <c r="E2" s="8" t="s">
        <v>437</v>
      </c>
      <c r="F2" s="8" t="s">
        <v>147</v>
      </c>
      <c r="G2" s="2" t="s">
        <v>757</v>
      </c>
      <c r="H2" s="73" t="s">
        <v>632</v>
      </c>
      <c r="I2" s="8" t="s">
        <v>768</v>
      </c>
      <c r="J2" s="8" t="s">
        <v>766</v>
      </c>
    </row>
    <row r="3" spans="1:10" ht="120" x14ac:dyDescent="0.25">
      <c r="A3" t="s">
        <v>692</v>
      </c>
      <c r="B3" s="58" t="s">
        <v>0</v>
      </c>
      <c r="C3" s="2" t="s">
        <v>500</v>
      </c>
      <c r="D3" s="8" t="s">
        <v>514</v>
      </c>
      <c r="E3" s="8" t="s">
        <v>746</v>
      </c>
      <c r="F3" s="8" t="s">
        <v>113</v>
      </c>
      <c r="G3" s="2" t="s">
        <v>13</v>
      </c>
      <c r="H3" s="73" t="s">
        <v>625</v>
      </c>
      <c r="I3" s="8" t="s">
        <v>768</v>
      </c>
      <c r="J3" s="8" t="s">
        <v>766</v>
      </c>
    </row>
    <row r="4" spans="1:10" ht="120" x14ac:dyDescent="0.25">
      <c r="A4" t="s">
        <v>691</v>
      </c>
      <c r="B4" s="58" t="s">
        <v>0</v>
      </c>
      <c r="C4" s="2" t="s">
        <v>500</v>
      </c>
      <c r="D4" s="8" t="s">
        <v>657</v>
      </c>
      <c r="E4" s="8" t="s">
        <v>747</v>
      </c>
      <c r="F4" s="8" t="s">
        <v>113</v>
      </c>
      <c r="G4" s="2" t="s">
        <v>13</v>
      </c>
      <c r="H4" s="73" t="s">
        <v>625</v>
      </c>
      <c r="I4" s="8" t="s">
        <v>768</v>
      </c>
      <c r="J4" s="8" t="s">
        <v>766</v>
      </c>
    </row>
    <row r="5" spans="1:10" ht="135" x14ac:dyDescent="0.25">
      <c r="A5" t="s">
        <v>693</v>
      </c>
      <c r="B5" s="58" t="s">
        <v>0</v>
      </c>
      <c r="C5" s="2" t="s">
        <v>572</v>
      </c>
      <c r="D5" s="9" t="s">
        <v>658</v>
      </c>
      <c r="E5" s="43" t="s">
        <v>491</v>
      </c>
      <c r="F5" s="8" t="s">
        <v>683</v>
      </c>
      <c r="G5" s="8" t="s">
        <v>682</v>
      </c>
      <c r="H5" s="70" t="s">
        <v>602</v>
      </c>
      <c r="I5" s="8" t="s">
        <v>764</v>
      </c>
      <c r="J5" s="8" t="s">
        <v>766</v>
      </c>
    </row>
    <row r="6" spans="1:10" ht="120" x14ac:dyDescent="0.25">
      <c r="A6" t="s">
        <v>694</v>
      </c>
      <c r="B6" s="58" t="s">
        <v>0</v>
      </c>
      <c r="C6" s="2" t="s">
        <v>187</v>
      </c>
      <c r="D6" s="8" t="s">
        <v>659</v>
      </c>
      <c r="E6" s="8" t="s">
        <v>515</v>
      </c>
      <c r="F6" s="8" t="s">
        <v>143</v>
      </c>
      <c r="G6" s="5" t="s">
        <v>152</v>
      </c>
      <c r="H6" s="73" t="s">
        <v>625</v>
      </c>
      <c r="I6" s="8" t="s">
        <v>768</v>
      </c>
      <c r="J6" s="8" t="s">
        <v>766</v>
      </c>
    </row>
    <row r="7" spans="1:10" ht="120" x14ac:dyDescent="0.25">
      <c r="A7" t="s">
        <v>695</v>
      </c>
      <c r="B7" s="58" t="s">
        <v>0</v>
      </c>
      <c r="C7" s="2" t="s">
        <v>187</v>
      </c>
      <c r="D7" s="8" t="s">
        <v>511</v>
      </c>
      <c r="E7" s="8" t="s">
        <v>360</v>
      </c>
      <c r="F7" s="8" t="s">
        <v>147</v>
      </c>
      <c r="G7" s="2" t="s">
        <v>12</v>
      </c>
      <c r="H7" s="73" t="s">
        <v>677</v>
      </c>
      <c r="I7" s="8" t="s">
        <v>768</v>
      </c>
      <c r="J7" s="8" t="s">
        <v>766</v>
      </c>
    </row>
    <row r="8" spans="1:10" ht="120" x14ac:dyDescent="0.25">
      <c r="A8" t="s">
        <v>698</v>
      </c>
      <c r="B8" s="58" t="s">
        <v>0</v>
      </c>
      <c r="C8" s="2" t="s">
        <v>187</v>
      </c>
      <c r="D8" s="8" t="s">
        <v>509</v>
      </c>
      <c r="E8" s="8" t="s">
        <v>356</v>
      </c>
      <c r="F8" s="8" t="s">
        <v>147</v>
      </c>
      <c r="G8" s="2" t="s">
        <v>12</v>
      </c>
      <c r="H8" s="73" t="s">
        <v>641</v>
      </c>
      <c r="I8" s="8" t="s">
        <v>768</v>
      </c>
      <c r="J8" s="8" t="s">
        <v>766</v>
      </c>
    </row>
    <row r="9" spans="1:10" ht="120" x14ac:dyDescent="0.25">
      <c r="A9" t="s">
        <v>739</v>
      </c>
      <c r="B9" s="58" t="s">
        <v>0</v>
      </c>
      <c r="C9" s="2" t="s">
        <v>187</v>
      </c>
      <c r="D9" s="8" t="s">
        <v>568</v>
      </c>
      <c r="E9" s="8" t="s">
        <v>510</v>
      </c>
      <c r="F9" s="8" t="s">
        <v>147</v>
      </c>
      <c r="G9" s="2" t="s">
        <v>13</v>
      </c>
      <c r="H9" s="73" t="s">
        <v>676</v>
      </c>
      <c r="I9" s="8" t="s">
        <v>768</v>
      </c>
      <c r="J9" s="8" t="s">
        <v>766</v>
      </c>
    </row>
    <row r="10" spans="1:10" ht="120" x14ac:dyDescent="0.25">
      <c r="A10" t="s">
        <v>740</v>
      </c>
      <c r="B10" s="58" t="s">
        <v>0</v>
      </c>
      <c r="C10" s="2" t="s">
        <v>187</v>
      </c>
      <c r="D10" s="8" t="s">
        <v>660</v>
      </c>
      <c r="E10" s="8" t="s">
        <v>656</v>
      </c>
      <c r="F10" s="8" t="s">
        <v>147</v>
      </c>
      <c r="G10" s="2" t="s">
        <v>24</v>
      </c>
      <c r="H10" s="73" t="s">
        <v>639</v>
      </c>
      <c r="I10" s="8" t="s">
        <v>768</v>
      </c>
      <c r="J10" s="8" t="s">
        <v>766</v>
      </c>
    </row>
    <row r="11" spans="1:10" ht="120" x14ac:dyDescent="0.25">
      <c r="A11" t="s">
        <v>696</v>
      </c>
      <c r="B11" s="58" t="s">
        <v>0</v>
      </c>
      <c r="C11" s="2" t="s">
        <v>582</v>
      </c>
      <c r="D11" s="8" t="s">
        <v>661</v>
      </c>
      <c r="E11" s="8" t="s">
        <v>543</v>
      </c>
      <c r="F11" s="8" t="s">
        <v>147</v>
      </c>
      <c r="G11" s="2" t="s">
        <v>399</v>
      </c>
      <c r="H11" s="73" t="s">
        <v>626</v>
      </c>
      <c r="I11" s="8" t="s">
        <v>768</v>
      </c>
      <c r="J11" s="8" t="s">
        <v>766</v>
      </c>
    </row>
    <row r="12" spans="1:10" ht="120" x14ac:dyDescent="0.25">
      <c r="A12" t="s">
        <v>697</v>
      </c>
      <c r="B12" s="58" t="s">
        <v>0</v>
      </c>
      <c r="C12" s="2" t="s">
        <v>204</v>
      </c>
      <c r="D12" s="8" t="s">
        <v>520</v>
      </c>
      <c r="E12" s="8" t="s">
        <v>642</v>
      </c>
      <c r="F12" s="8" t="s">
        <v>113</v>
      </c>
      <c r="G12" s="2" t="s">
        <v>685</v>
      </c>
      <c r="H12" s="65" t="s">
        <v>603</v>
      </c>
      <c r="I12" s="8" t="s">
        <v>768</v>
      </c>
      <c r="J12" s="8" t="s">
        <v>766</v>
      </c>
    </row>
    <row r="13" spans="1:10" ht="120" x14ac:dyDescent="0.25">
      <c r="A13" t="s">
        <v>699</v>
      </c>
      <c r="B13" s="59" t="s">
        <v>4</v>
      </c>
      <c r="C13" s="2" t="s">
        <v>573</v>
      </c>
      <c r="D13" s="8" t="s">
        <v>524</v>
      </c>
      <c r="E13" s="8" t="s">
        <v>371</v>
      </c>
      <c r="F13" s="8" t="s">
        <v>160</v>
      </c>
      <c r="G13" s="2" t="s">
        <v>770</v>
      </c>
      <c r="H13" s="73" t="s">
        <v>628</v>
      </c>
      <c r="I13" s="8" t="s">
        <v>768</v>
      </c>
      <c r="J13" s="8" t="s">
        <v>766</v>
      </c>
    </row>
    <row r="14" spans="1:10" ht="120" x14ac:dyDescent="0.25">
      <c r="A14" t="s">
        <v>700</v>
      </c>
      <c r="B14" s="59" t="s">
        <v>4</v>
      </c>
      <c r="C14" s="2" t="s">
        <v>573</v>
      </c>
      <c r="D14" s="8" t="s">
        <v>525</v>
      </c>
      <c r="E14" s="8" t="s">
        <v>368</v>
      </c>
      <c r="F14" s="8" t="s">
        <v>113</v>
      </c>
      <c r="G14" s="2" t="s">
        <v>685</v>
      </c>
      <c r="H14" s="73" t="s">
        <v>629</v>
      </c>
      <c r="I14" s="8" t="s">
        <v>768</v>
      </c>
      <c r="J14" s="8" t="s">
        <v>766</v>
      </c>
    </row>
    <row r="15" spans="1:10" ht="120" x14ac:dyDescent="0.25">
      <c r="A15" t="s">
        <v>701</v>
      </c>
      <c r="B15" s="59" t="s">
        <v>4</v>
      </c>
      <c r="C15" s="2" t="s">
        <v>573</v>
      </c>
      <c r="D15" s="8" t="s">
        <v>526</v>
      </c>
      <c r="E15" s="8" t="s">
        <v>587</v>
      </c>
      <c r="F15" s="8" t="s">
        <v>623</v>
      </c>
      <c r="G15" s="5" t="s">
        <v>686</v>
      </c>
      <c r="H15" s="70" t="s">
        <v>602</v>
      </c>
      <c r="I15" s="8" t="s">
        <v>768</v>
      </c>
      <c r="J15" s="8" t="s">
        <v>766</v>
      </c>
    </row>
    <row r="16" spans="1:10" ht="120" x14ac:dyDescent="0.25">
      <c r="A16" t="s">
        <v>702</v>
      </c>
      <c r="B16" s="59" t="s">
        <v>4</v>
      </c>
      <c r="C16" s="2" t="s">
        <v>573</v>
      </c>
      <c r="D16" s="8" t="s">
        <v>493</v>
      </c>
      <c r="E16" s="8" t="s">
        <v>369</v>
      </c>
      <c r="F16" s="8" t="s">
        <v>146</v>
      </c>
      <c r="G16" s="5" t="s">
        <v>151</v>
      </c>
      <c r="H16" s="73" t="s">
        <v>625</v>
      </c>
      <c r="I16" s="8" t="s">
        <v>768</v>
      </c>
      <c r="J16" s="8" t="s">
        <v>766</v>
      </c>
    </row>
    <row r="17" spans="1:10" ht="120" x14ac:dyDescent="0.25">
      <c r="A17" t="s">
        <v>703</v>
      </c>
      <c r="B17" s="59" t="s">
        <v>4</v>
      </c>
      <c r="C17" s="2" t="s">
        <v>574</v>
      </c>
      <c r="D17" s="8" t="s">
        <v>630</v>
      </c>
      <c r="E17" s="8" t="s">
        <v>631</v>
      </c>
      <c r="F17" s="8"/>
      <c r="G17" s="2" t="s">
        <v>685</v>
      </c>
      <c r="H17" s="73" t="s">
        <v>633</v>
      </c>
      <c r="I17" s="8" t="s">
        <v>768</v>
      </c>
      <c r="J17" s="8" t="s">
        <v>766</v>
      </c>
    </row>
    <row r="18" spans="1:10" ht="120" x14ac:dyDescent="0.25">
      <c r="A18" t="s">
        <v>704</v>
      </c>
      <c r="B18" s="59" t="s">
        <v>4</v>
      </c>
      <c r="C18" s="2" t="s">
        <v>501</v>
      </c>
      <c r="D18" s="8" t="s">
        <v>662</v>
      </c>
      <c r="E18" s="8" t="s">
        <v>597</v>
      </c>
      <c r="F18" s="8" t="s">
        <v>151</v>
      </c>
      <c r="G18" s="5" t="s">
        <v>596</v>
      </c>
      <c r="H18" s="70" t="s">
        <v>602</v>
      </c>
      <c r="I18" s="8" t="s">
        <v>768</v>
      </c>
      <c r="J18" s="8" t="s">
        <v>766</v>
      </c>
    </row>
    <row r="19" spans="1:10" ht="120" x14ac:dyDescent="0.25">
      <c r="A19" t="s">
        <v>705</v>
      </c>
      <c r="B19" s="59" t="s">
        <v>4</v>
      </c>
      <c r="C19" s="2" t="s">
        <v>501</v>
      </c>
      <c r="D19" s="8" t="s">
        <v>663</v>
      </c>
      <c r="E19" s="8" t="s">
        <v>643</v>
      </c>
      <c r="F19" s="8" t="s">
        <v>113</v>
      </c>
      <c r="G19" s="2" t="s">
        <v>399</v>
      </c>
      <c r="H19" s="73" t="s">
        <v>626</v>
      </c>
      <c r="I19" s="8" t="s">
        <v>768</v>
      </c>
      <c r="J19" s="8" t="s">
        <v>766</v>
      </c>
    </row>
    <row r="20" spans="1:10" ht="120" x14ac:dyDescent="0.25">
      <c r="A20" t="s">
        <v>706</v>
      </c>
      <c r="B20" s="59" t="s">
        <v>4</v>
      </c>
      <c r="C20" s="2" t="s">
        <v>575</v>
      </c>
      <c r="D20" s="8" t="s">
        <v>664</v>
      </c>
      <c r="E20" s="56" t="s">
        <v>650</v>
      </c>
      <c r="F20" s="8"/>
      <c r="G20" s="5" t="s">
        <v>151</v>
      </c>
      <c r="H20" s="2"/>
      <c r="I20" s="8" t="s">
        <v>768</v>
      </c>
      <c r="J20" s="8" t="s">
        <v>766</v>
      </c>
    </row>
    <row r="21" spans="1:10" ht="105" x14ac:dyDescent="0.25">
      <c r="A21" t="s">
        <v>707</v>
      </c>
      <c r="B21" s="84" t="s">
        <v>5</v>
      </c>
      <c r="C21" s="2" t="s">
        <v>502</v>
      </c>
      <c r="D21" s="8" t="s">
        <v>665</v>
      </c>
      <c r="E21" s="8" t="s">
        <v>376</v>
      </c>
      <c r="F21" s="8" t="s">
        <v>143</v>
      </c>
      <c r="G21" s="20" t="s">
        <v>772</v>
      </c>
      <c r="H21" s="73" t="s">
        <v>634</v>
      </c>
      <c r="I21" s="8" t="s">
        <v>764</v>
      </c>
      <c r="J21" s="8" t="s">
        <v>766</v>
      </c>
    </row>
    <row r="22" spans="1:10" ht="120" x14ac:dyDescent="0.25">
      <c r="A22" t="s">
        <v>708</v>
      </c>
      <c r="B22" s="84" t="s">
        <v>5</v>
      </c>
      <c r="C22" s="2" t="s">
        <v>502</v>
      </c>
      <c r="D22" s="8" t="s">
        <v>666</v>
      </c>
      <c r="E22" s="8" t="s">
        <v>571</v>
      </c>
      <c r="F22" s="8"/>
      <c r="G22" s="2" t="s">
        <v>685</v>
      </c>
      <c r="H22" s="66" t="s">
        <v>604</v>
      </c>
      <c r="I22" s="8" t="s">
        <v>768</v>
      </c>
      <c r="J22" s="8" t="s">
        <v>766</v>
      </c>
    </row>
    <row r="23" spans="1:10" ht="120" x14ac:dyDescent="0.25">
      <c r="A23" t="s">
        <v>709</v>
      </c>
      <c r="B23" s="84" t="s">
        <v>5</v>
      </c>
      <c r="C23" s="2" t="s">
        <v>502</v>
      </c>
      <c r="D23" s="8" t="s">
        <v>741</v>
      </c>
      <c r="E23" s="8" t="s">
        <v>644</v>
      </c>
      <c r="F23" s="8"/>
      <c r="G23" s="2" t="s">
        <v>685</v>
      </c>
      <c r="H23" s="70" t="s">
        <v>602</v>
      </c>
      <c r="I23" s="8" t="s">
        <v>768</v>
      </c>
      <c r="J23" s="8" t="s">
        <v>766</v>
      </c>
    </row>
    <row r="24" spans="1:10" ht="120" x14ac:dyDescent="0.25">
      <c r="A24" t="s">
        <v>710</v>
      </c>
      <c r="B24" s="84" t="s">
        <v>5</v>
      </c>
      <c r="C24" s="2" t="s">
        <v>502</v>
      </c>
      <c r="D24" s="8" t="s">
        <v>681</v>
      </c>
      <c r="E24" s="8" t="s">
        <v>556</v>
      </c>
      <c r="F24" s="8"/>
      <c r="G24" s="2" t="s">
        <v>569</v>
      </c>
      <c r="H24" s="66" t="s">
        <v>598</v>
      </c>
      <c r="I24" s="8" t="s">
        <v>768</v>
      </c>
      <c r="J24" s="8" t="s">
        <v>766</v>
      </c>
    </row>
    <row r="25" spans="1:10" ht="120" x14ac:dyDescent="0.25">
      <c r="A25" t="s">
        <v>711</v>
      </c>
      <c r="B25" s="84" t="s">
        <v>5</v>
      </c>
      <c r="C25" s="2" t="s">
        <v>502</v>
      </c>
      <c r="D25" s="8" t="s">
        <v>667</v>
      </c>
      <c r="E25" s="8" t="s">
        <v>610</v>
      </c>
      <c r="F25" s="8"/>
      <c r="G25" s="2" t="s">
        <v>15</v>
      </c>
      <c r="H25" s="73" t="s">
        <v>625</v>
      </c>
      <c r="I25" s="8" t="s">
        <v>768</v>
      </c>
      <c r="J25" s="8" t="s">
        <v>766</v>
      </c>
    </row>
    <row r="26" spans="1:10" ht="120" x14ac:dyDescent="0.25">
      <c r="A26" t="s">
        <v>712</v>
      </c>
      <c r="B26" s="84" t="s">
        <v>5</v>
      </c>
      <c r="C26" s="2" t="s">
        <v>205</v>
      </c>
      <c r="D26" s="8" t="s">
        <v>668</v>
      </c>
      <c r="E26" s="8" t="s">
        <v>611</v>
      </c>
      <c r="F26" s="20" t="s">
        <v>144</v>
      </c>
      <c r="G26" s="2" t="s">
        <v>15</v>
      </c>
      <c r="H26" s="73" t="s">
        <v>625</v>
      </c>
      <c r="I26" s="8" t="s">
        <v>768</v>
      </c>
      <c r="J26" s="8" t="s">
        <v>766</v>
      </c>
    </row>
    <row r="27" spans="1:10" ht="120" x14ac:dyDescent="0.25">
      <c r="A27" t="s">
        <v>713</v>
      </c>
      <c r="B27" s="60" t="s">
        <v>6</v>
      </c>
      <c r="C27" s="2" t="s">
        <v>576</v>
      </c>
      <c r="D27" s="8" t="s">
        <v>669</v>
      </c>
      <c r="E27" s="8" t="s">
        <v>616</v>
      </c>
      <c r="F27" s="8" t="s">
        <v>168</v>
      </c>
      <c r="G27" s="2" t="s">
        <v>15</v>
      </c>
      <c r="H27" s="66" t="s">
        <v>604</v>
      </c>
      <c r="I27" s="8" t="s">
        <v>768</v>
      </c>
      <c r="J27" s="8" t="s">
        <v>766</v>
      </c>
    </row>
    <row r="28" spans="1:10" ht="120" x14ac:dyDescent="0.25">
      <c r="A28" t="s">
        <v>720</v>
      </c>
      <c r="B28" s="60" t="s">
        <v>6</v>
      </c>
      <c r="C28" s="2" t="s">
        <v>576</v>
      </c>
      <c r="D28" s="8" t="s">
        <v>670</v>
      </c>
      <c r="E28" s="8" t="s">
        <v>617</v>
      </c>
      <c r="F28" s="8" t="s">
        <v>168</v>
      </c>
      <c r="G28" s="2" t="s">
        <v>15</v>
      </c>
      <c r="H28" s="66" t="s">
        <v>604</v>
      </c>
      <c r="I28" s="8" t="s">
        <v>768</v>
      </c>
      <c r="J28" s="8" t="s">
        <v>766</v>
      </c>
    </row>
    <row r="29" spans="1:10" ht="120" x14ac:dyDescent="0.25">
      <c r="A29" t="s">
        <v>714</v>
      </c>
      <c r="B29" s="60" t="s">
        <v>6</v>
      </c>
      <c r="C29" s="57" t="s">
        <v>570</v>
      </c>
      <c r="D29" s="8" t="s">
        <v>561</v>
      </c>
      <c r="E29" s="8" t="s">
        <v>409</v>
      </c>
      <c r="F29" s="8" t="s">
        <v>113</v>
      </c>
      <c r="G29" s="2" t="s">
        <v>15</v>
      </c>
      <c r="H29" s="70" t="s">
        <v>609</v>
      </c>
      <c r="I29" s="8" t="s">
        <v>768</v>
      </c>
      <c r="J29" s="8" t="s">
        <v>766</v>
      </c>
    </row>
    <row r="30" spans="1:10" ht="120" x14ac:dyDescent="0.25">
      <c r="A30" t="s">
        <v>721</v>
      </c>
      <c r="B30" s="60" t="s">
        <v>6</v>
      </c>
      <c r="C30" s="2" t="s">
        <v>318</v>
      </c>
      <c r="D30" s="8" t="s">
        <v>410</v>
      </c>
      <c r="E30" s="8" t="s">
        <v>646</v>
      </c>
      <c r="F30" s="8" t="s">
        <v>168</v>
      </c>
      <c r="G30" s="3" t="s">
        <v>151</v>
      </c>
      <c r="H30" s="66" t="s">
        <v>608</v>
      </c>
      <c r="I30" s="8" t="s">
        <v>768</v>
      </c>
      <c r="J30" s="8" t="s">
        <v>766</v>
      </c>
    </row>
    <row r="31" spans="1:10" ht="120" x14ac:dyDescent="0.25">
      <c r="A31" t="s">
        <v>722</v>
      </c>
      <c r="B31" s="60" t="s">
        <v>6</v>
      </c>
      <c r="C31" s="2" t="s">
        <v>318</v>
      </c>
      <c r="D31" s="8" t="s">
        <v>671</v>
      </c>
      <c r="E31" s="8" t="s">
        <v>745</v>
      </c>
      <c r="F31" s="8" t="s">
        <v>168</v>
      </c>
      <c r="G31" s="3" t="s">
        <v>151</v>
      </c>
      <c r="H31" s="66" t="s">
        <v>608</v>
      </c>
      <c r="I31" s="8" t="s">
        <v>768</v>
      </c>
      <c r="J31" s="8" t="s">
        <v>766</v>
      </c>
    </row>
    <row r="32" spans="1:10" ht="120" x14ac:dyDescent="0.25">
      <c r="A32" t="s">
        <v>723</v>
      </c>
      <c r="B32" s="60" t="s">
        <v>6</v>
      </c>
      <c r="C32" s="57" t="s">
        <v>570</v>
      </c>
      <c r="D32" s="8" t="s">
        <v>563</v>
      </c>
      <c r="E32" s="8" t="s">
        <v>382</v>
      </c>
      <c r="F32" s="8" t="s">
        <v>145</v>
      </c>
      <c r="G32" s="2" t="s">
        <v>771</v>
      </c>
      <c r="H32" s="66" t="s">
        <v>604</v>
      </c>
      <c r="I32" s="8" t="s">
        <v>768</v>
      </c>
      <c r="J32" s="8" t="s">
        <v>766</v>
      </c>
    </row>
    <row r="33" spans="1:10" ht="120" x14ac:dyDescent="0.25">
      <c r="A33" t="s">
        <v>724</v>
      </c>
      <c r="B33" s="60" t="s">
        <v>6</v>
      </c>
      <c r="C33" s="2" t="s">
        <v>318</v>
      </c>
      <c r="D33" s="8" t="s">
        <v>413</v>
      </c>
      <c r="E33" s="8" t="s">
        <v>381</v>
      </c>
      <c r="F33" s="8"/>
      <c r="G33" s="3" t="s">
        <v>151</v>
      </c>
      <c r="H33" s="66" t="s">
        <v>608</v>
      </c>
      <c r="I33" s="8" t="s">
        <v>768</v>
      </c>
      <c r="J33" s="8" t="s">
        <v>766</v>
      </c>
    </row>
    <row r="34" spans="1:10" ht="120" x14ac:dyDescent="0.25">
      <c r="A34" t="s">
        <v>715</v>
      </c>
      <c r="B34" s="60" t="s">
        <v>6</v>
      </c>
      <c r="C34" s="2" t="s">
        <v>192</v>
      </c>
      <c r="D34" s="8" t="s">
        <v>765</v>
      </c>
      <c r="E34" s="8" t="s">
        <v>383</v>
      </c>
      <c r="F34" s="8" t="s">
        <v>113</v>
      </c>
      <c r="G34" s="2" t="s">
        <v>171</v>
      </c>
      <c r="H34" s="66" t="s">
        <v>604</v>
      </c>
      <c r="I34" s="8" t="s">
        <v>768</v>
      </c>
      <c r="J34" s="8" t="s">
        <v>766</v>
      </c>
    </row>
    <row r="35" spans="1:10" ht="120" x14ac:dyDescent="0.25">
      <c r="A35" t="s">
        <v>716</v>
      </c>
      <c r="B35" s="60" t="s">
        <v>6</v>
      </c>
      <c r="C35" s="2" t="s">
        <v>577</v>
      </c>
      <c r="D35" s="8" t="s">
        <v>672</v>
      </c>
      <c r="E35" s="8" t="s">
        <v>635</v>
      </c>
      <c r="F35" s="8" t="s">
        <v>636</v>
      </c>
      <c r="G35" s="2" t="s">
        <v>399</v>
      </c>
      <c r="H35" s="73" t="s">
        <v>634</v>
      </c>
      <c r="I35" s="8" t="s">
        <v>768</v>
      </c>
      <c r="J35" s="8" t="s">
        <v>766</v>
      </c>
    </row>
    <row r="36" spans="1:10" ht="120" x14ac:dyDescent="0.25">
      <c r="A36" t="s">
        <v>725</v>
      </c>
      <c r="B36" s="60" t="s">
        <v>6</v>
      </c>
      <c r="C36" s="2" t="s">
        <v>577</v>
      </c>
      <c r="D36" s="8" t="s">
        <v>673</v>
      </c>
      <c r="E36" s="8" t="s">
        <v>637</v>
      </c>
      <c r="F36" s="8" t="s">
        <v>636</v>
      </c>
      <c r="G36" s="2" t="s">
        <v>399</v>
      </c>
      <c r="H36" s="73" t="s">
        <v>634</v>
      </c>
      <c r="I36" s="8" t="s">
        <v>768</v>
      </c>
      <c r="J36" s="8" t="s">
        <v>766</v>
      </c>
    </row>
    <row r="37" spans="1:10" ht="120" x14ac:dyDescent="0.25">
      <c r="A37" t="s">
        <v>717</v>
      </c>
      <c r="B37" s="61" t="s">
        <v>7</v>
      </c>
      <c r="C37" s="2" t="s">
        <v>579</v>
      </c>
      <c r="D37" s="8" t="s">
        <v>674</v>
      </c>
      <c r="E37" s="8" t="s">
        <v>600</v>
      </c>
      <c r="F37" s="8" t="s">
        <v>147</v>
      </c>
      <c r="G37" s="5" t="s">
        <v>151</v>
      </c>
      <c r="H37" s="66" t="s">
        <v>605</v>
      </c>
      <c r="I37" s="8" t="s">
        <v>768</v>
      </c>
      <c r="J37" s="8" t="s">
        <v>766</v>
      </c>
    </row>
    <row r="38" spans="1:10" ht="120" x14ac:dyDescent="0.25">
      <c r="A38" t="s">
        <v>718</v>
      </c>
      <c r="B38" s="61" t="s">
        <v>7</v>
      </c>
      <c r="C38" s="2" t="s">
        <v>540</v>
      </c>
      <c r="D38" s="8" t="s">
        <v>588</v>
      </c>
      <c r="E38" s="8" t="s">
        <v>638</v>
      </c>
      <c r="F38" s="8" t="s">
        <v>113</v>
      </c>
      <c r="G38" s="63" t="s">
        <v>15</v>
      </c>
      <c r="H38" s="73" t="s">
        <v>640</v>
      </c>
      <c r="I38" s="8" t="s">
        <v>768</v>
      </c>
      <c r="J38" s="8" t="s">
        <v>766</v>
      </c>
    </row>
    <row r="39" spans="1:10" ht="120" x14ac:dyDescent="0.25">
      <c r="A39" t="s">
        <v>726</v>
      </c>
      <c r="B39" s="61" t="s">
        <v>7</v>
      </c>
      <c r="C39" s="2" t="s">
        <v>540</v>
      </c>
      <c r="D39" s="8" t="s">
        <v>590</v>
      </c>
      <c r="E39" s="8" t="s">
        <v>414</v>
      </c>
      <c r="F39" s="8"/>
      <c r="G39" s="2" t="s">
        <v>759</v>
      </c>
      <c r="H39" s="70" t="s">
        <v>602</v>
      </c>
      <c r="I39" s="8" t="s">
        <v>768</v>
      </c>
      <c r="J39" s="8" t="s">
        <v>766</v>
      </c>
    </row>
    <row r="40" spans="1:10" ht="120" x14ac:dyDescent="0.25">
      <c r="A40" t="s">
        <v>719</v>
      </c>
      <c r="B40" s="61" t="s">
        <v>7</v>
      </c>
      <c r="C40" s="2" t="s">
        <v>540</v>
      </c>
      <c r="D40" s="8" t="s">
        <v>675</v>
      </c>
      <c r="E40" s="8" t="s">
        <v>385</v>
      </c>
      <c r="F40" s="8" t="s">
        <v>143</v>
      </c>
      <c r="G40" s="2" t="s">
        <v>758</v>
      </c>
      <c r="H40" s="66" t="s">
        <v>490</v>
      </c>
      <c r="I40" s="8" t="s">
        <v>768</v>
      </c>
      <c r="J40" s="8" t="s">
        <v>766</v>
      </c>
    </row>
    <row r="41" spans="1:10" ht="120" x14ac:dyDescent="0.25">
      <c r="A41" t="s">
        <v>727</v>
      </c>
      <c r="B41" s="61" t="s">
        <v>7</v>
      </c>
      <c r="C41" s="2" t="s">
        <v>540</v>
      </c>
      <c r="D41" s="5" t="s">
        <v>584</v>
      </c>
      <c r="E41" s="51" t="s">
        <v>767</v>
      </c>
      <c r="F41" s="5"/>
      <c r="G41" s="5" t="s">
        <v>152</v>
      </c>
      <c r="H41" s="70" t="s">
        <v>602</v>
      </c>
      <c r="I41" s="8" t="s">
        <v>768</v>
      </c>
      <c r="J41" s="8" t="s">
        <v>766</v>
      </c>
    </row>
  </sheetData>
  <autoFilter ref="A1:H41" xr:uid="{AF0461F5-5522-4400-ADC3-010F7ED92A5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07809-8A88-44B6-9B7F-6B36120F6782}">
  <sheetPr>
    <tabColor rgb="FF00B050"/>
  </sheetPr>
  <dimension ref="A1:C41"/>
  <sheetViews>
    <sheetView workbookViewId="0">
      <selection activeCell="B41" sqref="B41"/>
    </sheetView>
    <sheetView workbookViewId="1"/>
  </sheetViews>
  <sheetFormatPr defaultRowHeight="15" x14ac:dyDescent="0.25"/>
  <sheetData>
    <row r="1" spans="1:3" x14ac:dyDescent="0.25">
      <c r="A1" s="52" t="s">
        <v>729</v>
      </c>
      <c r="B1" s="52" t="s">
        <v>748</v>
      </c>
      <c r="C1" s="52" t="s">
        <v>749</v>
      </c>
    </row>
    <row r="2" spans="1:3" x14ac:dyDescent="0.25">
      <c r="A2" s="58" t="s">
        <v>690</v>
      </c>
      <c r="B2" s="58" t="s">
        <v>0</v>
      </c>
      <c r="C2" s="58">
        <v>1</v>
      </c>
    </row>
    <row r="3" spans="1:3" x14ac:dyDescent="0.25">
      <c r="A3" s="58" t="s">
        <v>692</v>
      </c>
      <c r="B3" s="58" t="s">
        <v>0</v>
      </c>
      <c r="C3" s="58">
        <v>1</v>
      </c>
    </row>
    <row r="4" spans="1:3" x14ac:dyDescent="0.25">
      <c r="A4" s="58" t="s">
        <v>691</v>
      </c>
      <c r="B4" s="58" t="s">
        <v>0</v>
      </c>
      <c r="C4" s="58">
        <v>1</v>
      </c>
    </row>
    <row r="5" spans="1:3" x14ac:dyDescent="0.25">
      <c r="A5" s="58" t="s">
        <v>693</v>
      </c>
      <c r="B5" s="58" t="s">
        <v>0</v>
      </c>
      <c r="C5" s="58">
        <v>2</v>
      </c>
    </row>
    <row r="6" spans="1:3" x14ac:dyDescent="0.25">
      <c r="A6" s="58" t="s">
        <v>694</v>
      </c>
      <c r="B6" s="58" t="s">
        <v>0</v>
      </c>
      <c r="C6" s="58">
        <v>3</v>
      </c>
    </row>
    <row r="7" spans="1:3" x14ac:dyDescent="0.25">
      <c r="A7" s="58" t="s">
        <v>695</v>
      </c>
      <c r="B7" s="58" t="s">
        <v>0</v>
      </c>
      <c r="C7" s="58">
        <v>3</v>
      </c>
    </row>
    <row r="8" spans="1:3" x14ac:dyDescent="0.25">
      <c r="A8" s="58" t="s">
        <v>698</v>
      </c>
      <c r="B8" s="58" t="s">
        <v>0</v>
      </c>
      <c r="C8" s="58">
        <v>3</v>
      </c>
    </row>
    <row r="9" spans="1:3" x14ac:dyDescent="0.25">
      <c r="A9" s="58" t="s">
        <v>739</v>
      </c>
      <c r="B9" s="58" t="s">
        <v>0</v>
      </c>
      <c r="C9" s="58">
        <v>3</v>
      </c>
    </row>
    <row r="10" spans="1:3" x14ac:dyDescent="0.25">
      <c r="A10" s="58" t="s">
        <v>740</v>
      </c>
      <c r="B10" s="58" t="s">
        <v>0</v>
      </c>
      <c r="C10" s="58">
        <v>3</v>
      </c>
    </row>
    <row r="11" spans="1:3" x14ac:dyDescent="0.25">
      <c r="A11" s="58" t="s">
        <v>696</v>
      </c>
      <c r="B11" s="58" t="s">
        <v>0</v>
      </c>
      <c r="C11" s="58">
        <v>4</v>
      </c>
    </row>
    <row r="12" spans="1:3" x14ac:dyDescent="0.25">
      <c r="A12" s="58" t="s">
        <v>697</v>
      </c>
      <c r="B12" s="58" t="s">
        <v>0</v>
      </c>
      <c r="C12" s="58">
        <v>5</v>
      </c>
    </row>
    <row r="13" spans="1:3" x14ac:dyDescent="0.25">
      <c r="A13" s="59" t="s">
        <v>699</v>
      </c>
      <c r="B13" s="59" t="s">
        <v>4</v>
      </c>
      <c r="C13" s="59">
        <v>6</v>
      </c>
    </row>
    <row r="14" spans="1:3" x14ac:dyDescent="0.25">
      <c r="A14" s="59" t="s">
        <v>700</v>
      </c>
      <c r="B14" s="59" t="s">
        <v>4</v>
      </c>
      <c r="C14" s="59">
        <v>6</v>
      </c>
    </row>
    <row r="15" spans="1:3" x14ac:dyDescent="0.25">
      <c r="A15" s="59" t="s">
        <v>701</v>
      </c>
      <c r="B15" s="59" t="s">
        <v>4</v>
      </c>
      <c r="C15" s="59">
        <v>6</v>
      </c>
    </row>
    <row r="16" spans="1:3" x14ac:dyDescent="0.25">
      <c r="A16" s="59" t="s">
        <v>702</v>
      </c>
      <c r="B16" s="59" t="s">
        <v>4</v>
      </c>
      <c r="C16" s="59">
        <v>6</v>
      </c>
    </row>
    <row r="17" spans="1:3" x14ac:dyDescent="0.25">
      <c r="A17" s="59" t="s">
        <v>703</v>
      </c>
      <c r="B17" s="59" t="s">
        <v>4</v>
      </c>
      <c r="C17" s="59">
        <v>7</v>
      </c>
    </row>
    <row r="18" spans="1:3" x14ac:dyDescent="0.25">
      <c r="A18" s="59" t="s">
        <v>704</v>
      </c>
      <c r="B18" s="59" t="s">
        <v>4</v>
      </c>
      <c r="C18" s="59">
        <v>8</v>
      </c>
    </row>
    <row r="19" spans="1:3" x14ac:dyDescent="0.25">
      <c r="A19" s="59" t="s">
        <v>705</v>
      </c>
      <c r="B19" s="59" t="s">
        <v>4</v>
      </c>
      <c r="C19" s="59">
        <v>8</v>
      </c>
    </row>
    <row r="20" spans="1:3" x14ac:dyDescent="0.25">
      <c r="A20" s="59" t="s">
        <v>706</v>
      </c>
      <c r="B20" s="59" t="s">
        <v>4</v>
      </c>
      <c r="C20" s="59">
        <v>9</v>
      </c>
    </row>
    <row r="21" spans="1:3" x14ac:dyDescent="0.25">
      <c r="A21" s="93" t="s">
        <v>707</v>
      </c>
      <c r="B21" s="93" t="s">
        <v>5</v>
      </c>
      <c r="C21" s="93">
        <v>10</v>
      </c>
    </row>
    <row r="22" spans="1:3" x14ac:dyDescent="0.25">
      <c r="A22" s="93" t="s">
        <v>708</v>
      </c>
      <c r="B22" s="93" t="s">
        <v>5</v>
      </c>
      <c r="C22" s="93">
        <v>10</v>
      </c>
    </row>
    <row r="23" spans="1:3" x14ac:dyDescent="0.25">
      <c r="A23" s="93" t="s">
        <v>709</v>
      </c>
      <c r="B23" s="93" t="s">
        <v>5</v>
      </c>
      <c r="C23" s="93">
        <v>10</v>
      </c>
    </row>
    <row r="24" spans="1:3" x14ac:dyDescent="0.25">
      <c r="A24" s="93" t="s">
        <v>710</v>
      </c>
      <c r="B24" s="93" t="s">
        <v>5</v>
      </c>
      <c r="C24" s="93">
        <v>11</v>
      </c>
    </row>
    <row r="25" spans="1:3" x14ac:dyDescent="0.25">
      <c r="A25" s="93" t="s">
        <v>711</v>
      </c>
      <c r="B25" s="93" t="s">
        <v>5</v>
      </c>
      <c r="C25" s="93">
        <v>11</v>
      </c>
    </row>
    <row r="26" spans="1:3" x14ac:dyDescent="0.25">
      <c r="A26" s="93" t="s">
        <v>712</v>
      </c>
      <c r="B26" s="93" t="s">
        <v>5</v>
      </c>
      <c r="C26" s="93">
        <v>12</v>
      </c>
    </row>
    <row r="27" spans="1:3" x14ac:dyDescent="0.25">
      <c r="A27" s="60" t="s">
        <v>713</v>
      </c>
      <c r="B27" s="60" t="s">
        <v>6</v>
      </c>
      <c r="C27" s="60">
        <v>13</v>
      </c>
    </row>
    <row r="28" spans="1:3" x14ac:dyDescent="0.25">
      <c r="A28" s="60" t="s">
        <v>720</v>
      </c>
      <c r="B28" s="60" t="s">
        <v>6</v>
      </c>
      <c r="C28" s="60">
        <v>13</v>
      </c>
    </row>
    <row r="29" spans="1:3" x14ac:dyDescent="0.25">
      <c r="A29" s="60" t="s">
        <v>714</v>
      </c>
      <c r="B29" s="60" t="s">
        <v>6</v>
      </c>
      <c r="C29" s="60">
        <v>14</v>
      </c>
    </row>
    <row r="30" spans="1:3" x14ac:dyDescent="0.25">
      <c r="A30" s="60" t="s">
        <v>721</v>
      </c>
      <c r="B30" s="60" t="s">
        <v>6</v>
      </c>
      <c r="C30" s="60">
        <v>14</v>
      </c>
    </row>
    <row r="31" spans="1:3" x14ac:dyDescent="0.25">
      <c r="A31" s="60" t="s">
        <v>722</v>
      </c>
      <c r="B31" s="60" t="s">
        <v>6</v>
      </c>
      <c r="C31" s="60">
        <v>14</v>
      </c>
    </row>
    <row r="32" spans="1:3" x14ac:dyDescent="0.25">
      <c r="A32" s="60" t="s">
        <v>723</v>
      </c>
      <c r="B32" s="60" t="s">
        <v>6</v>
      </c>
      <c r="C32" s="60">
        <v>14</v>
      </c>
    </row>
    <row r="33" spans="1:3" x14ac:dyDescent="0.25">
      <c r="A33" s="60" t="s">
        <v>724</v>
      </c>
      <c r="B33" s="60" t="s">
        <v>6</v>
      </c>
      <c r="C33" s="60">
        <v>14</v>
      </c>
    </row>
    <row r="34" spans="1:3" x14ac:dyDescent="0.25">
      <c r="A34" s="60" t="s">
        <v>715</v>
      </c>
      <c r="B34" s="60" t="s">
        <v>6</v>
      </c>
      <c r="C34" s="60">
        <v>15</v>
      </c>
    </row>
    <row r="35" spans="1:3" x14ac:dyDescent="0.25">
      <c r="A35" s="60" t="s">
        <v>716</v>
      </c>
      <c r="B35" s="60" t="s">
        <v>6</v>
      </c>
      <c r="C35" s="60">
        <v>16</v>
      </c>
    </row>
    <row r="36" spans="1:3" x14ac:dyDescent="0.25">
      <c r="A36" s="60" t="s">
        <v>725</v>
      </c>
      <c r="B36" s="60" t="s">
        <v>6</v>
      </c>
      <c r="C36" s="60">
        <v>16</v>
      </c>
    </row>
    <row r="37" spans="1:3" x14ac:dyDescent="0.25">
      <c r="A37" s="61" t="s">
        <v>717</v>
      </c>
      <c r="B37" s="61" t="s">
        <v>7</v>
      </c>
      <c r="C37" s="61">
        <v>18</v>
      </c>
    </row>
    <row r="38" spans="1:3" x14ac:dyDescent="0.25">
      <c r="A38" s="61" t="s">
        <v>718</v>
      </c>
      <c r="B38" s="61" t="s">
        <v>7</v>
      </c>
      <c r="C38" s="61">
        <v>19</v>
      </c>
    </row>
    <row r="39" spans="1:3" x14ac:dyDescent="0.25">
      <c r="A39" s="61" t="s">
        <v>726</v>
      </c>
      <c r="B39" s="61" t="s">
        <v>7</v>
      </c>
      <c r="C39" s="61">
        <v>20</v>
      </c>
    </row>
    <row r="40" spans="1:3" x14ac:dyDescent="0.25">
      <c r="A40" s="61" t="s">
        <v>719</v>
      </c>
      <c r="B40" s="61" t="s">
        <v>7</v>
      </c>
      <c r="C40" s="61">
        <v>20</v>
      </c>
    </row>
    <row r="41" spans="1:3" x14ac:dyDescent="0.25">
      <c r="A41" s="61" t="s">
        <v>727</v>
      </c>
      <c r="B41" s="61" t="s">
        <v>7</v>
      </c>
      <c r="C41" s="61">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F20F0-9CC2-4F26-A00C-4E768DFA225D}">
  <sheetPr>
    <tabColor rgb="FF00B050"/>
  </sheetPr>
  <dimension ref="A1:C20"/>
  <sheetViews>
    <sheetView workbookViewId="0">
      <selection activeCell="A2" sqref="A2:A20"/>
    </sheetView>
    <sheetView workbookViewId="1"/>
  </sheetViews>
  <sheetFormatPr defaultRowHeight="15" x14ac:dyDescent="0.25"/>
  <cols>
    <col min="2" max="2" width="36.140625" customWidth="1"/>
    <col min="3" max="3" width="57.5703125" customWidth="1"/>
  </cols>
  <sheetData>
    <row r="1" spans="1:3" x14ac:dyDescent="0.25">
      <c r="A1" s="52" t="s">
        <v>427</v>
      </c>
      <c r="B1" s="52" t="s">
        <v>101</v>
      </c>
      <c r="C1" s="52" t="s">
        <v>601</v>
      </c>
    </row>
    <row r="2" spans="1:3" ht="30" x14ac:dyDescent="0.25">
      <c r="A2" s="58">
        <v>1</v>
      </c>
      <c r="B2" s="2" t="s">
        <v>102</v>
      </c>
      <c r="C2" s="2" t="s">
        <v>103</v>
      </c>
    </row>
    <row r="3" spans="1:3" ht="45" x14ac:dyDescent="0.25">
      <c r="A3" s="58">
        <v>2</v>
      </c>
      <c r="B3" s="2" t="s">
        <v>104</v>
      </c>
      <c r="C3" s="2" t="s">
        <v>105</v>
      </c>
    </row>
    <row r="4" spans="1:3" ht="45" x14ac:dyDescent="0.25">
      <c r="A4" s="58">
        <v>3</v>
      </c>
      <c r="B4" s="2" t="s">
        <v>106</v>
      </c>
      <c r="C4" s="2" t="s">
        <v>107</v>
      </c>
    </row>
    <row r="5" spans="1:3" ht="30" x14ac:dyDescent="0.25">
      <c r="A5" s="58">
        <v>4</v>
      </c>
      <c r="B5" s="2" t="s">
        <v>109</v>
      </c>
      <c r="C5" s="2" t="s">
        <v>110</v>
      </c>
    </row>
    <row r="6" spans="1:3" ht="30" x14ac:dyDescent="0.25">
      <c r="A6" s="58">
        <v>5</v>
      </c>
      <c r="B6" s="2" t="s">
        <v>111</v>
      </c>
      <c r="C6" s="2" t="s">
        <v>112</v>
      </c>
    </row>
    <row r="7" spans="1:3" ht="45" x14ac:dyDescent="0.25">
      <c r="A7" s="59">
        <v>6</v>
      </c>
      <c r="B7" s="5" t="s">
        <v>115</v>
      </c>
      <c r="C7" s="2" t="s">
        <v>116</v>
      </c>
    </row>
    <row r="8" spans="1:3" ht="30" x14ac:dyDescent="0.25">
      <c r="A8" s="59">
        <v>7</v>
      </c>
      <c r="B8" s="2" t="s">
        <v>117</v>
      </c>
      <c r="C8" s="2" t="s">
        <v>118</v>
      </c>
    </row>
    <row r="9" spans="1:3" ht="45" x14ac:dyDescent="0.25">
      <c r="A9" s="59">
        <v>8</v>
      </c>
      <c r="B9" s="2" t="s">
        <v>119</v>
      </c>
      <c r="C9" s="2" t="s">
        <v>687</v>
      </c>
    </row>
    <row r="10" spans="1:3" ht="30" x14ac:dyDescent="0.25">
      <c r="A10" s="59">
        <v>9</v>
      </c>
      <c r="B10" s="2" t="s">
        <v>121</v>
      </c>
      <c r="C10" s="2" t="s">
        <v>122</v>
      </c>
    </row>
    <row r="11" spans="1:3" ht="30" x14ac:dyDescent="0.25">
      <c r="A11" s="84">
        <v>10</v>
      </c>
      <c r="B11" s="2" t="s">
        <v>123</v>
      </c>
      <c r="C11" s="2" t="s">
        <v>124</v>
      </c>
    </row>
    <row r="12" spans="1:3" ht="45" x14ac:dyDescent="0.25">
      <c r="A12" s="84">
        <v>11</v>
      </c>
      <c r="B12" s="2" t="s">
        <v>125</v>
      </c>
      <c r="C12" s="2" t="s">
        <v>126</v>
      </c>
    </row>
    <row r="13" spans="1:3" ht="30" x14ac:dyDescent="0.25">
      <c r="A13" s="84">
        <v>12</v>
      </c>
      <c r="B13" s="2" t="s">
        <v>127</v>
      </c>
      <c r="C13" s="2" t="s">
        <v>122</v>
      </c>
    </row>
    <row r="14" spans="1:3" ht="30" x14ac:dyDescent="0.25">
      <c r="A14" s="60">
        <v>13</v>
      </c>
      <c r="B14" s="2" t="s">
        <v>128</v>
      </c>
      <c r="C14" s="2" t="s">
        <v>129</v>
      </c>
    </row>
    <row r="15" spans="1:3" ht="30" x14ac:dyDescent="0.25">
      <c r="A15" s="60">
        <v>14</v>
      </c>
      <c r="B15" s="2" t="s">
        <v>130</v>
      </c>
      <c r="C15" s="2" t="s">
        <v>131</v>
      </c>
    </row>
    <row r="16" spans="1:3" ht="30" x14ac:dyDescent="0.25">
      <c r="A16" s="60">
        <v>15</v>
      </c>
      <c r="B16" s="2" t="s">
        <v>132</v>
      </c>
      <c r="C16" s="2" t="s">
        <v>133</v>
      </c>
    </row>
    <row r="17" spans="1:3" ht="45" x14ac:dyDescent="0.25">
      <c r="A17" s="60">
        <v>16</v>
      </c>
      <c r="B17" s="2" t="s">
        <v>134</v>
      </c>
      <c r="C17" s="2" t="s">
        <v>135</v>
      </c>
    </row>
    <row r="18" spans="1:3" ht="45" x14ac:dyDescent="0.25">
      <c r="A18" s="61">
        <v>18</v>
      </c>
      <c r="B18" s="2" t="s">
        <v>138</v>
      </c>
      <c r="C18" s="2" t="s">
        <v>139</v>
      </c>
    </row>
    <row r="19" spans="1:3" ht="30" x14ac:dyDescent="0.25">
      <c r="A19" s="61">
        <v>19</v>
      </c>
      <c r="B19" s="2" t="s">
        <v>594</v>
      </c>
      <c r="C19" s="2" t="s">
        <v>595</v>
      </c>
    </row>
    <row r="20" spans="1:3" ht="30" x14ac:dyDescent="0.25">
      <c r="A20" s="61">
        <v>20</v>
      </c>
      <c r="B20" s="2" t="s">
        <v>140</v>
      </c>
      <c r="C20" s="2" t="s">
        <v>141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3FECC-9312-43C0-A050-AD7F426D505D}">
  <sheetPr>
    <tabColor rgb="FF00B050"/>
  </sheetPr>
  <dimension ref="A1:F108"/>
  <sheetViews>
    <sheetView tabSelected="1" topLeftCell="A31" workbookViewId="0">
      <selection activeCell="J59" sqref="J59"/>
    </sheetView>
    <sheetView tabSelected="1" topLeftCell="A31" workbookViewId="1">
      <selection activeCell="N52" sqref="N52"/>
    </sheetView>
  </sheetViews>
  <sheetFormatPr defaultRowHeight="15" x14ac:dyDescent="0.25"/>
  <cols>
    <col min="2" max="2" width="10.7109375" bestFit="1" customWidth="1"/>
    <col min="3" max="3" width="9.28515625" bestFit="1" customWidth="1"/>
    <col min="4" max="5" width="11.5703125" bestFit="1" customWidth="1"/>
    <col min="7" max="7" width="11.85546875" bestFit="1" customWidth="1"/>
    <col min="8" max="8" width="12.85546875" bestFit="1" customWidth="1"/>
  </cols>
  <sheetData>
    <row r="1" spans="1:6" x14ac:dyDescent="0.25">
      <c r="A1" s="52" t="s">
        <v>729</v>
      </c>
      <c r="B1" t="s">
        <v>728</v>
      </c>
      <c r="C1" t="s">
        <v>730</v>
      </c>
      <c r="D1" t="s">
        <v>743</v>
      </c>
      <c r="E1" t="s">
        <v>744</v>
      </c>
      <c r="F1" t="s">
        <v>735</v>
      </c>
    </row>
    <row r="2" spans="1:6" x14ac:dyDescent="0.25">
      <c r="A2" s="58" t="s">
        <v>690</v>
      </c>
      <c r="B2" s="90">
        <v>40724</v>
      </c>
      <c r="C2" s="2">
        <v>5.04</v>
      </c>
      <c r="F2" t="s">
        <v>769</v>
      </c>
    </row>
    <row r="3" spans="1:6" x14ac:dyDescent="0.25">
      <c r="A3" s="58" t="s">
        <v>690</v>
      </c>
      <c r="B3" s="90">
        <v>41090</v>
      </c>
      <c r="C3" s="2">
        <v>4.8</v>
      </c>
      <c r="F3" t="s">
        <v>769</v>
      </c>
    </row>
    <row r="4" spans="1:6" x14ac:dyDescent="0.25">
      <c r="A4" s="58" t="s">
        <v>690</v>
      </c>
      <c r="B4" s="90">
        <v>41455</v>
      </c>
      <c r="C4" s="2">
        <v>4.72</v>
      </c>
      <c r="F4" t="s">
        <v>769</v>
      </c>
    </row>
    <row r="5" spans="1:6" x14ac:dyDescent="0.25">
      <c r="A5" s="58" t="s">
        <v>690</v>
      </c>
      <c r="B5" s="90">
        <v>41820</v>
      </c>
      <c r="C5" s="2">
        <v>4.79</v>
      </c>
      <c r="F5" t="s">
        <v>769</v>
      </c>
    </row>
    <row r="6" spans="1:6" x14ac:dyDescent="0.25">
      <c r="A6" s="58" t="s">
        <v>690</v>
      </c>
      <c r="B6" s="90">
        <v>42185</v>
      </c>
      <c r="C6" s="2">
        <v>4.84</v>
      </c>
      <c r="F6" t="s">
        <v>769</v>
      </c>
    </row>
    <row r="7" spans="1:6" x14ac:dyDescent="0.25">
      <c r="A7" s="58" t="s">
        <v>690</v>
      </c>
      <c r="B7" s="90">
        <v>42551</v>
      </c>
      <c r="C7" s="2">
        <v>4.95</v>
      </c>
      <c r="D7" s="2"/>
      <c r="E7" s="2"/>
      <c r="F7" s="2" t="s">
        <v>736</v>
      </c>
    </row>
    <row r="8" spans="1:6" x14ac:dyDescent="0.25">
      <c r="A8" s="58" t="s">
        <v>690</v>
      </c>
      <c r="B8" s="90">
        <v>51317</v>
      </c>
      <c r="C8" s="2">
        <v>4.1100000000000003</v>
      </c>
      <c r="D8" s="2"/>
      <c r="E8" s="2"/>
      <c r="F8" s="2" t="s">
        <v>738</v>
      </c>
    </row>
    <row r="9" spans="1:6" x14ac:dyDescent="0.25">
      <c r="A9" s="58" t="s">
        <v>692</v>
      </c>
      <c r="B9" s="91">
        <v>43281</v>
      </c>
      <c r="C9" s="67">
        <v>68.400000000000006</v>
      </c>
      <c r="D9" s="67">
        <v>65.538751133575303</v>
      </c>
      <c r="E9" s="67">
        <v>71.158794562405902</v>
      </c>
      <c r="F9" s="42" t="s">
        <v>736</v>
      </c>
    </row>
    <row r="10" spans="1:6" x14ac:dyDescent="0.25">
      <c r="A10" s="58" t="s">
        <v>692</v>
      </c>
      <c r="B10" s="91">
        <v>43646</v>
      </c>
      <c r="C10" s="67">
        <v>67.2</v>
      </c>
      <c r="D10" s="67">
        <v>64.083971006635693</v>
      </c>
      <c r="E10" s="67">
        <v>70.112622314085897</v>
      </c>
      <c r="F10" s="42" t="s">
        <v>737</v>
      </c>
    </row>
    <row r="11" spans="1:6" x14ac:dyDescent="0.25">
      <c r="A11" s="58" t="s">
        <v>692</v>
      </c>
      <c r="B11" s="90">
        <v>51317</v>
      </c>
      <c r="C11" s="67">
        <v>80</v>
      </c>
      <c r="D11" s="94"/>
      <c r="E11" s="94"/>
      <c r="F11" s="2" t="s">
        <v>738</v>
      </c>
    </row>
    <row r="12" spans="1:6" x14ac:dyDescent="0.25">
      <c r="A12" s="58" t="s">
        <v>691</v>
      </c>
      <c r="B12" s="91">
        <v>43281</v>
      </c>
      <c r="C12" s="95">
        <v>63</v>
      </c>
      <c r="D12" s="67">
        <v>60.304286081761603</v>
      </c>
      <c r="E12" s="67">
        <v>66.167510713120095</v>
      </c>
      <c r="F12" s="42" t="s">
        <v>736</v>
      </c>
    </row>
    <row r="13" spans="1:6" x14ac:dyDescent="0.25">
      <c r="A13" s="58" t="s">
        <v>691</v>
      </c>
      <c r="B13" s="91">
        <v>43646</v>
      </c>
      <c r="C13" s="95">
        <v>60.699999999999996</v>
      </c>
      <c r="D13" s="67">
        <v>57.5564462873403</v>
      </c>
      <c r="E13" s="67">
        <v>63.814694958317894</v>
      </c>
      <c r="F13" s="42" t="s">
        <v>737</v>
      </c>
    </row>
    <row r="14" spans="1:6" x14ac:dyDescent="0.25">
      <c r="A14" s="58" t="s">
        <v>691</v>
      </c>
      <c r="B14" s="90">
        <v>51317</v>
      </c>
      <c r="C14" s="95">
        <v>90</v>
      </c>
      <c r="D14" s="95"/>
      <c r="E14" s="95"/>
      <c r="F14" s="2" t="s">
        <v>738</v>
      </c>
    </row>
    <row r="15" spans="1:6" x14ac:dyDescent="0.25">
      <c r="A15" s="58" t="s">
        <v>693</v>
      </c>
      <c r="F15" s="42" t="s">
        <v>736</v>
      </c>
    </row>
    <row r="16" spans="1:6" x14ac:dyDescent="0.25">
      <c r="A16" s="58" t="s">
        <v>693</v>
      </c>
      <c r="F16" s="2" t="s">
        <v>738</v>
      </c>
    </row>
    <row r="17" spans="1:6" x14ac:dyDescent="0.25">
      <c r="A17" s="58" t="s">
        <v>694</v>
      </c>
      <c r="B17" s="91">
        <v>43281</v>
      </c>
      <c r="C17" s="95">
        <v>48.5</v>
      </c>
      <c r="D17" s="95">
        <v>45.395837796280397</v>
      </c>
      <c r="E17" s="95">
        <v>51.597672572044409</v>
      </c>
      <c r="F17" s="42" t="s">
        <v>736</v>
      </c>
    </row>
    <row r="18" spans="1:6" x14ac:dyDescent="0.25">
      <c r="A18" s="58" t="s">
        <v>694</v>
      </c>
      <c r="B18" s="91">
        <v>43646</v>
      </c>
      <c r="C18" s="95">
        <v>45.6</v>
      </c>
      <c r="D18" s="95">
        <v>42.354182641082602</v>
      </c>
      <c r="E18" s="95">
        <v>48.833706034554297</v>
      </c>
      <c r="F18" s="42" t="s">
        <v>737</v>
      </c>
    </row>
    <row r="19" spans="1:6" x14ac:dyDescent="0.25">
      <c r="A19" s="58" t="s">
        <v>694</v>
      </c>
      <c r="B19" s="90">
        <v>51317</v>
      </c>
      <c r="C19" s="95">
        <v>80</v>
      </c>
      <c r="D19" s="95"/>
      <c r="E19" s="95"/>
      <c r="F19" s="2" t="s">
        <v>738</v>
      </c>
    </row>
    <row r="20" spans="1:6" x14ac:dyDescent="0.25">
      <c r="A20" s="58" t="s">
        <v>695</v>
      </c>
      <c r="B20" s="92">
        <v>42916</v>
      </c>
      <c r="C20" s="95">
        <v>57.699999999999996</v>
      </c>
      <c r="D20" s="95"/>
      <c r="E20" s="95"/>
      <c r="F20" s="42" t="s">
        <v>736</v>
      </c>
    </row>
    <row r="21" spans="1:6" x14ac:dyDescent="0.25">
      <c r="A21" s="58" t="s">
        <v>695</v>
      </c>
      <c r="B21" s="90">
        <v>51317</v>
      </c>
      <c r="C21" s="95">
        <v>60</v>
      </c>
      <c r="D21" s="95"/>
      <c r="E21" s="95"/>
      <c r="F21" s="2" t="s">
        <v>738</v>
      </c>
    </row>
    <row r="22" spans="1:6" x14ac:dyDescent="0.25">
      <c r="A22" s="58" t="s">
        <v>698</v>
      </c>
      <c r="B22" s="92">
        <v>41820</v>
      </c>
      <c r="C22" s="95">
        <v>14.3</v>
      </c>
      <c r="D22" s="95">
        <v>9.4</v>
      </c>
      <c r="E22" s="95">
        <v>21.1</v>
      </c>
      <c r="F22" s="42" t="s">
        <v>769</v>
      </c>
    </row>
    <row r="23" spans="1:6" x14ac:dyDescent="0.25">
      <c r="A23" s="58" t="s">
        <v>698</v>
      </c>
      <c r="B23" s="92">
        <v>42916</v>
      </c>
      <c r="C23" s="95">
        <v>12.5</v>
      </c>
      <c r="D23" s="95">
        <v>9</v>
      </c>
      <c r="E23" s="95">
        <v>17</v>
      </c>
      <c r="F23" s="42" t="s">
        <v>736</v>
      </c>
    </row>
    <row r="24" spans="1:6" x14ac:dyDescent="0.25">
      <c r="A24" s="58" t="s">
        <v>698</v>
      </c>
      <c r="B24" s="90">
        <v>51317</v>
      </c>
      <c r="C24" s="95">
        <v>8.9</v>
      </c>
      <c r="D24" s="95"/>
      <c r="E24" s="95"/>
      <c r="F24" s="2" t="s">
        <v>738</v>
      </c>
    </row>
    <row r="25" spans="1:6" x14ac:dyDescent="0.25">
      <c r="A25" s="58" t="s">
        <v>739</v>
      </c>
      <c r="B25" s="91">
        <v>43281</v>
      </c>
      <c r="C25" s="95">
        <v>62.8</v>
      </c>
      <c r="D25" s="67">
        <v>59.877990759808299</v>
      </c>
      <c r="E25" s="67">
        <v>65.605150908988506</v>
      </c>
      <c r="F25" s="42" t="s">
        <v>736</v>
      </c>
    </row>
    <row r="26" spans="1:6" x14ac:dyDescent="0.25">
      <c r="A26" s="58" t="s">
        <v>739</v>
      </c>
      <c r="B26" s="91">
        <v>43646</v>
      </c>
      <c r="C26" s="95">
        <v>67</v>
      </c>
      <c r="D26" s="67">
        <v>64.039769861282096</v>
      </c>
      <c r="E26" s="67">
        <v>69.906919042560105</v>
      </c>
      <c r="F26" s="42" t="s">
        <v>737</v>
      </c>
    </row>
    <row r="27" spans="1:6" x14ac:dyDescent="0.25">
      <c r="A27" s="58" t="s">
        <v>739</v>
      </c>
      <c r="B27" s="90">
        <v>51317</v>
      </c>
      <c r="C27" s="95">
        <v>80</v>
      </c>
      <c r="D27" s="86"/>
      <c r="E27" s="86"/>
      <c r="F27" s="2" t="s">
        <v>738</v>
      </c>
    </row>
    <row r="28" spans="1:6" x14ac:dyDescent="0.25">
      <c r="A28" s="58" t="s">
        <v>740</v>
      </c>
      <c r="B28" s="91">
        <v>43281</v>
      </c>
      <c r="C28" s="95">
        <v>85.1</v>
      </c>
      <c r="D28" s="87"/>
      <c r="E28" s="87"/>
      <c r="F28" s="42" t="s">
        <v>736</v>
      </c>
    </row>
    <row r="29" spans="1:6" x14ac:dyDescent="0.25">
      <c r="A29" s="58" t="s">
        <v>740</v>
      </c>
      <c r="B29" s="90">
        <v>51317</v>
      </c>
      <c r="C29" s="89">
        <v>89.9</v>
      </c>
      <c r="D29" s="87"/>
      <c r="E29" s="87"/>
      <c r="F29" s="42" t="s">
        <v>738</v>
      </c>
    </row>
    <row r="30" spans="1:6" x14ac:dyDescent="0.25">
      <c r="A30" s="58" t="s">
        <v>696</v>
      </c>
      <c r="B30" s="91">
        <v>43281</v>
      </c>
      <c r="C30" s="89">
        <v>52</v>
      </c>
      <c r="D30" s="89">
        <v>50.302758398000002</v>
      </c>
      <c r="E30" s="89">
        <v>53.871574222</v>
      </c>
      <c r="F30" s="42" t="s">
        <v>736</v>
      </c>
    </row>
    <row r="31" spans="1:6" x14ac:dyDescent="0.25">
      <c r="A31" s="58" t="s">
        <v>696</v>
      </c>
      <c r="B31" s="91">
        <v>43646</v>
      </c>
      <c r="C31" s="89">
        <v>49</v>
      </c>
      <c r="D31" s="89">
        <v>46.735637591080902</v>
      </c>
      <c r="E31" s="89">
        <v>50.539152862397202</v>
      </c>
      <c r="F31" s="42" t="s">
        <v>737</v>
      </c>
    </row>
    <row r="32" spans="1:6" x14ac:dyDescent="0.25">
      <c r="A32" s="58" t="s">
        <v>696</v>
      </c>
      <c r="B32" s="90">
        <v>51317</v>
      </c>
      <c r="C32" s="89">
        <v>63</v>
      </c>
      <c r="D32" s="89"/>
      <c r="E32" s="89"/>
      <c r="F32" s="2" t="s">
        <v>738</v>
      </c>
    </row>
    <row r="33" spans="1:6" x14ac:dyDescent="0.25">
      <c r="A33" s="58" t="s">
        <v>697</v>
      </c>
      <c r="B33" s="90">
        <v>40724</v>
      </c>
      <c r="C33" s="95">
        <v>16.7</v>
      </c>
      <c r="D33" s="87"/>
      <c r="E33" s="87"/>
      <c r="F33" s="42" t="s">
        <v>769</v>
      </c>
    </row>
    <row r="34" spans="1:6" x14ac:dyDescent="0.25">
      <c r="A34" s="58" t="s">
        <v>697</v>
      </c>
      <c r="B34" s="90">
        <v>42551</v>
      </c>
      <c r="C34" s="95">
        <v>15.9</v>
      </c>
      <c r="D34" s="87"/>
      <c r="E34" s="87"/>
      <c r="F34" s="42" t="s">
        <v>736</v>
      </c>
    </row>
    <row r="35" spans="1:6" x14ac:dyDescent="0.25">
      <c r="A35" s="58" t="s">
        <v>697</v>
      </c>
      <c r="B35" s="90">
        <v>51317</v>
      </c>
      <c r="C35" s="95">
        <v>15.1</v>
      </c>
      <c r="D35" s="87"/>
      <c r="E35" s="87"/>
      <c r="F35" s="2" t="s">
        <v>738</v>
      </c>
    </row>
    <row r="36" spans="1:6" x14ac:dyDescent="0.25">
      <c r="A36" s="59" t="s">
        <v>699</v>
      </c>
      <c r="B36" s="91">
        <v>42551</v>
      </c>
      <c r="C36" s="95">
        <v>5.0999999999999996</v>
      </c>
      <c r="D36" s="87"/>
      <c r="E36" s="87"/>
      <c r="F36" s="2" t="s">
        <v>769</v>
      </c>
    </row>
    <row r="37" spans="1:6" x14ac:dyDescent="0.25">
      <c r="A37" s="59" t="s">
        <v>699</v>
      </c>
      <c r="B37" s="91">
        <v>42916</v>
      </c>
      <c r="C37" s="95">
        <v>5.2</v>
      </c>
      <c r="D37" s="87"/>
      <c r="E37" s="87"/>
      <c r="F37" s="2" t="s">
        <v>769</v>
      </c>
    </row>
    <row r="38" spans="1:6" x14ac:dyDescent="0.25">
      <c r="A38" s="59" t="s">
        <v>699</v>
      </c>
      <c r="B38" s="91">
        <v>43281</v>
      </c>
      <c r="C38" s="95">
        <v>4.8</v>
      </c>
      <c r="D38" s="87"/>
      <c r="E38" s="87"/>
      <c r="F38" s="42" t="s">
        <v>736</v>
      </c>
    </row>
    <row r="39" spans="1:6" x14ac:dyDescent="0.25">
      <c r="A39" s="59" t="s">
        <v>699</v>
      </c>
      <c r="B39" s="90">
        <v>51317</v>
      </c>
      <c r="C39" s="95">
        <v>2.1</v>
      </c>
      <c r="D39" s="87"/>
      <c r="E39" s="87"/>
      <c r="F39" s="2" t="s">
        <v>738</v>
      </c>
    </row>
    <row r="40" spans="1:6" x14ac:dyDescent="0.25">
      <c r="A40" s="59" t="s">
        <v>700</v>
      </c>
      <c r="B40" s="90">
        <v>40724</v>
      </c>
      <c r="C40" s="95">
        <v>15.3</v>
      </c>
      <c r="D40" s="87"/>
      <c r="E40" s="87"/>
      <c r="F40" s="42" t="s">
        <v>769</v>
      </c>
    </row>
    <row r="41" spans="1:6" x14ac:dyDescent="0.25">
      <c r="A41" s="59" t="s">
        <v>700</v>
      </c>
      <c r="B41" s="90">
        <v>42551</v>
      </c>
      <c r="C41" s="95">
        <v>17.2</v>
      </c>
      <c r="D41" s="87"/>
      <c r="E41" s="87"/>
      <c r="F41" s="42" t="s">
        <v>736</v>
      </c>
    </row>
    <row r="42" spans="1:6" x14ac:dyDescent="0.25">
      <c r="A42" s="59" t="s">
        <v>700</v>
      </c>
      <c r="B42" s="90">
        <v>51317</v>
      </c>
      <c r="C42" s="95">
        <v>21.5</v>
      </c>
      <c r="D42" s="87"/>
      <c r="E42" s="87"/>
      <c r="F42" s="2" t="s">
        <v>738</v>
      </c>
    </row>
    <row r="43" spans="1:6" x14ac:dyDescent="0.25">
      <c r="A43" s="59" t="s">
        <v>701</v>
      </c>
      <c r="B43" s="92">
        <v>42551</v>
      </c>
      <c r="C43" s="95">
        <v>91.8</v>
      </c>
      <c r="D43" s="87"/>
      <c r="E43" s="87"/>
      <c r="F43" s="2" t="s">
        <v>769</v>
      </c>
    </row>
    <row r="44" spans="1:6" x14ac:dyDescent="0.25">
      <c r="A44" s="59" t="s">
        <v>701</v>
      </c>
      <c r="B44" s="92">
        <v>42916</v>
      </c>
      <c r="C44" s="95">
        <v>91.600000000000009</v>
      </c>
      <c r="D44" s="87"/>
      <c r="E44" s="87"/>
      <c r="F44" s="42" t="s">
        <v>736</v>
      </c>
    </row>
    <row r="45" spans="1:6" x14ac:dyDescent="0.25">
      <c r="A45" s="59" t="s">
        <v>701</v>
      </c>
      <c r="B45" s="90">
        <v>51317</v>
      </c>
      <c r="C45" s="95">
        <v>96.2</v>
      </c>
      <c r="D45" s="87"/>
      <c r="E45" s="87"/>
      <c r="F45" s="2" t="s">
        <v>738</v>
      </c>
    </row>
    <row r="46" spans="1:6" x14ac:dyDescent="0.25">
      <c r="A46" s="59" t="s">
        <v>702</v>
      </c>
      <c r="B46" s="91">
        <v>43281</v>
      </c>
      <c r="C46" s="95">
        <v>17.599999999999998</v>
      </c>
      <c r="D46" s="87"/>
      <c r="E46" s="87"/>
      <c r="F46" s="42" t="s">
        <v>736</v>
      </c>
    </row>
    <row r="47" spans="1:6" x14ac:dyDescent="0.25">
      <c r="A47" s="59" t="s">
        <v>702</v>
      </c>
      <c r="B47" s="91">
        <v>43646</v>
      </c>
      <c r="C47" s="95">
        <v>16.97</v>
      </c>
      <c r="D47" s="87"/>
      <c r="E47" s="87"/>
      <c r="F47" s="42" t="s">
        <v>737</v>
      </c>
    </row>
    <row r="48" spans="1:6" x14ac:dyDescent="0.25">
      <c r="A48" s="59" t="s">
        <v>702</v>
      </c>
      <c r="B48" s="90">
        <v>51317</v>
      </c>
      <c r="C48" s="95">
        <v>80</v>
      </c>
      <c r="D48" s="86"/>
      <c r="E48" s="86"/>
      <c r="F48" s="2" t="s">
        <v>738</v>
      </c>
    </row>
    <row r="49" spans="1:6" x14ac:dyDescent="0.25">
      <c r="A49" s="59" t="s">
        <v>703</v>
      </c>
      <c r="B49" s="92">
        <v>40724</v>
      </c>
      <c r="C49" s="95">
        <v>33.799999999999997</v>
      </c>
      <c r="D49" s="86"/>
      <c r="E49" s="86"/>
      <c r="F49" s="2" t="s">
        <v>769</v>
      </c>
    </row>
    <row r="50" spans="1:6" x14ac:dyDescent="0.25">
      <c r="A50" s="59" t="s">
        <v>703</v>
      </c>
      <c r="B50" s="92">
        <v>42551</v>
      </c>
      <c r="C50" s="95">
        <v>33</v>
      </c>
      <c r="D50" s="86"/>
      <c r="E50" s="86"/>
      <c r="F50" s="42" t="s">
        <v>736</v>
      </c>
    </row>
    <row r="51" spans="1:6" x14ac:dyDescent="0.25">
      <c r="A51" s="59" t="s">
        <v>703</v>
      </c>
      <c r="B51" s="90">
        <v>51317</v>
      </c>
      <c r="C51" s="95">
        <v>48.199999999999996</v>
      </c>
      <c r="D51" s="86"/>
      <c r="E51" s="86"/>
      <c r="F51" s="2" t="s">
        <v>738</v>
      </c>
    </row>
    <row r="52" spans="1:6" x14ac:dyDescent="0.25">
      <c r="A52" s="59" t="s">
        <v>704</v>
      </c>
      <c r="B52" s="91">
        <v>43646</v>
      </c>
      <c r="C52" s="89">
        <v>46.9</v>
      </c>
      <c r="D52" s="89"/>
      <c r="E52" s="89"/>
      <c r="F52" s="42" t="s">
        <v>736</v>
      </c>
    </row>
    <row r="53" spans="1:6" x14ac:dyDescent="0.25">
      <c r="A53" s="59" t="s">
        <v>704</v>
      </c>
      <c r="B53" s="90">
        <v>51317</v>
      </c>
      <c r="C53" s="89">
        <v>49.3</v>
      </c>
      <c r="D53" s="89"/>
      <c r="E53" s="89"/>
      <c r="F53" s="2" t="s">
        <v>738</v>
      </c>
    </row>
    <row r="54" spans="1:6" x14ac:dyDescent="0.25">
      <c r="A54" s="59" t="s">
        <v>705</v>
      </c>
      <c r="B54" s="91">
        <v>43281</v>
      </c>
      <c r="C54" s="89">
        <v>71</v>
      </c>
      <c r="D54" s="89">
        <v>69.282534772719998</v>
      </c>
      <c r="E54" s="89">
        <v>71.891836587279997</v>
      </c>
      <c r="F54" s="42" t="s">
        <v>736</v>
      </c>
    </row>
    <row r="55" spans="1:6" x14ac:dyDescent="0.25">
      <c r="A55" s="59" t="s">
        <v>705</v>
      </c>
      <c r="B55" s="91">
        <v>43646</v>
      </c>
      <c r="C55" s="89">
        <v>71</v>
      </c>
      <c r="D55" s="89">
        <v>69.310210964059195</v>
      </c>
      <c r="E55" s="89">
        <v>71.990952281489598</v>
      </c>
      <c r="F55" s="42" t="s">
        <v>737</v>
      </c>
    </row>
    <row r="56" spans="1:6" x14ac:dyDescent="0.25">
      <c r="A56" s="59" t="s">
        <v>705</v>
      </c>
      <c r="B56" s="90">
        <v>51317</v>
      </c>
      <c r="C56" s="89">
        <v>79</v>
      </c>
      <c r="D56" s="89"/>
      <c r="E56" s="89"/>
      <c r="F56" s="2" t="s">
        <v>738</v>
      </c>
    </row>
    <row r="57" spans="1:6" x14ac:dyDescent="0.25">
      <c r="A57" s="59" t="s">
        <v>706</v>
      </c>
      <c r="B57" s="91">
        <v>43281</v>
      </c>
      <c r="C57" s="95">
        <v>16.7</v>
      </c>
      <c r="D57" s="88"/>
      <c r="E57" s="88"/>
      <c r="F57" s="42" t="s">
        <v>736</v>
      </c>
    </row>
    <row r="58" spans="1:6" x14ac:dyDescent="0.25">
      <c r="A58" s="59" t="s">
        <v>706</v>
      </c>
      <c r="B58" s="91">
        <v>43646</v>
      </c>
      <c r="C58" s="95">
        <v>16.7</v>
      </c>
      <c r="D58" s="88"/>
      <c r="E58" s="88"/>
      <c r="F58" s="42" t="s">
        <v>737</v>
      </c>
    </row>
    <row r="59" spans="1:6" x14ac:dyDescent="0.25">
      <c r="A59" s="59" t="s">
        <v>706</v>
      </c>
      <c r="B59" s="90">
        <v>51317</v>
      </c>
      <c r="C59" s="95">
        <v>100</v>
      </c>
      <c r="D59" s="88"/>
      <c r="E59" s="88"/>
      <c r="F59" s="2" t="s">
        <v>738</v>
      </c>
    </row>
    <row r="60" spans="1:6" x14ac:dyDescent="0.25">
      <c r="A60" s="84" t="s">
        <v>707</v>
      </c>
      <c r="B60" s="91">
        <v>43281</v>
      </c>
      <c r="C60" s="95">
        <v>76.099999999999994</v>
      </c>
      <c r="D60" s="87"/>
      <c r="E60" s="87"/>
      <c r="F60" s="42" t="s">
        <v>736</v>
      </c>
    </row>
    <row r="61" spans="1:6" x14ac:dyDescent="0.25">
      <c r="A61" s="84" t="s">
        <v>707</v>
      </c>
      <c r="B61" s="90">
        <v>51317</v>
      </c>
      <c r="C61" s="95">
        <v>90</v>
      </c>
      <c r="D61" s="87"/>
      <c r="E61" s="87"/>
      <c r="F61" s="2" t="s">
        <v>738</v>
      </c>
    </row>
    <row r="62" spans="1:6" x14ac:dyDescent="0.25">
      <c r="A62" s="98" t="s">
        <v>708</v>
      </c>
      <c r="B62" s="90">
        <v>40724</v>
      </c>
      <c r="C62" s="95">
        <v>21.6</v>
      </c>
      <c r="D62" s="87"/>
      <c r="E62" s="87"/>
      <c r="F62" s="42" t="s">
        <v>769</v>
      </c>
    </row>
    <row r="63" spans="1:6" x14ac:dyDescent="0.25">
      <c r="A63" s="84" t="s">
        <v>708</v>
      </c>
      <c r="B63" s="90">
        <v>42551</v>
      </c>
      <c r="C63" s="95">
        <v>23.6</v>
      </c>
      <c r="D63" s="87"/>
      <c r="E63" s="87"/>
      <c r="F63" s="42" t="s">
        <v>736</v>
      </c>
    </row>
    <row r="64" spans="1:6" x14ac:dyDescent="0.25">
      <c r="A64" s="84" t="s">
        <v>708</v>
      </c>
      <c r="B64" s="90">
        <v>51317</v>
      </c>
      <c r="C64" s="95">
        <v>50.1</v>
      </c>
      <c r="D64" s="87"/>
      <c r="E64" s="87"/>
      <c r="F64" s="2" t="s">
        <v>738</v>
      </c>
    </row>
    <row r="65" spans="1:6" x14ac:dyDescent="0.25">
      <c r="A65" s="99" t="s">
        <v>709</v>
      </c>
      <c r="B65" s="90">
        <v>40724</v>
      </c>
      <c r="C65" s="95">
        <v>10.4</v>
      </c>
      <c r="D65" s="87"/>
      <c r="E65" s="87"/>
      <c r="F65" s="2" t="s">
        <v>769</v>
      </c>
    </row>
    <row r="66" spans="1:6" x14ac:dyDescent="0.25">
      <c r="A66" s="84" t="s">
        <v>709</v>
      </c>
      <c r="B66" s="90">
        <v>42551</v>
      </c>
      <c r="C66" s="95">
        <v>11</v>
      </c>
      <c r="D66" s="87"/>
      <c r="E66" s="87"/>
      <c r="F66" s="42" t="s">
        <v>736</v>
      </c>
    </row>
    <row r="67" spans="1:6" x14ac:dyDescent="0.25">
      <c r="A67" s="84" t="s">
        <v>709</v>
      </c>
      <c r="B67" s="90">
        <v>51317</v>
      </c>
      <c r="C67" s="95">
        <v>11.600000000000001</v>
      </c>
      <c r="D67" s="87"/>
      <c r="E67" s="87"/>
      <c r="F67" s="2" t="s">
        <v>738</v>
      </c>
    </row>
    <row r="68" spans="1:6" x14ac:dyDescent="0.25">
      <c r="A68" s="84" t="s">
        <v>710</v>
      </c>
      <c r="B68" s="91">
        <v>43281</v>
      </c>
      <c r="C68" s="89">
        <v>2</v>
      </c>
      <c r="D68" s="89"/>
      <c r="E68" s="89"/>
      <c r="F68" s="42" t="s">
        <v>736</v>
      </c>
    </row>
    <row r="69" spans="1:6" x14ac:dyDescent="0.25">
      <c r="A69" s="84" t="s">
        <v>710</v>
      </c>
      <c r="B69" s="91">
        <v>43646</v>
      </c>
      <c r="C69" s="89">
        <v>1</v>
      </c>
      <c r="D69" s="89"/>
      <c r="E69" s="89"/>
      <c r="F69" s="42" t="s">
        <v>737</v>
      </c>
    </row>
    <row r="70" spans="1:6" x14ac:dyDescent="0.25">
      <c r="A70" s="84" t="s">
        <v>710</v>
      </c>
      <c r="B70" s="90">
        <v>51317</v>
      </c>
      <c r="C70" s="89">
        <v>0</v>
      </c>
      <c r="D70" s="89"/>
      <c r="E70" s="89"/>
      <c r="F70" s="2" t="s">
        <v>738</v>
      </c>
    </row>
    <row r="71" spans="1:6" x14ac:dyDescent="0.25">
      <c r="A71" s="84" t="s">
        <v>711</v>
      </c>
      <c r="B71" s="91">
        <v>43281</v>
      </c>
      <c r="C71" s="95">
        <v>0</v>
      </c>
      <c r="D71" s="87"/>
      <c r="E71" s="87"/>
      <c r="F71" s="42" t="s">
        <v>736</v>
      </c>
    </row>
    <row r="72" spans="1:6" x14ac:dyDescent="0.25">
      <c r="A72" s="84" t="s">
        <v>711</v>
      </c>
      <c r="B72" s="90">
        <v>51317</v>
      </c>
      <c r="C72" s="95">
        <v>100</v>
      </c>
      <c r="D72" s="87"/>
      <c r="E72" s="87"/>
      <c r="F72" s="2" t="s">
        <v>738</v>
      </c>
    </row>
    <row r="73" spans="1:6" x14ac:dyDescent="0.25">
      <c r="A73" s="84" t="s">
        <v>712</v>
      </c>
      <c r="B73" s="91">
        <v>43281</v>
      </c>
      <c r="C73" s="95">
        <v>0</v>
      </c>
      <c r="D73" s="88"/>
      <c r="E73" s="88"/>
      <c r="F73" s="42" t="s">
        <v>736</v>
      </c>
    </row>
    <row r="74" spans="1:6" x14ac:dyDescent="0.25">
      <c r="A74" s="84" t="s">
        <v>712</v>
      </c>
      <c r="B74" s="91">
        <v>43646</v>
      </c>
      <c r="C74" s="95">
        <v>60.699999999999996</v>
      </c>
      <c r="D74" s="88"/>
      <c r="E74" s="88"/>
      <c r="F74" s="42" t="s">
        <v>737</v>
      </c>
    </row>
    <row r="75" spans="1:6" x14ac:dyDescent="0.25">
      <c r="A75" s="84" t="s">
        <v>712</v>
      </c>
      <c r="B75" s="90">
        <v>51317</v>
      </c>
      <c r="C75" s="95">
        <v>100</v>
      </c>
      <c r="D75" s="88"/>
      <c r="E75" s="88"/>
      <c r="F75" s="2" t="s">
        <v>738</v>
      </c>
    </row>
    <row r="76" spans="1:6" x14ac:dyDescent="0.25">
      <c r="A76" s="60" t="s">
        <v>713</v>
      </c>
      <c r="B76" s="91">
        <v>43281</v>
      </c>
      <c r="C76" s="89">
        <v>2773</v>
      </c>
      <c r="D76" s="89"/>
      <c r="E76" s="89"/>
      <c r="F76" s="42" t="s">
        <v>736</v>
      </c>
    </row>
    <row r="77" spans="1:6" x14ac:dyDescent="0.25">
      <c r="A77" s="60" t="s">
        <v>713</v>
      </c>
      <c r="B77" s="91">
        <v>43646</v>
      </c>
      <c r="C77" s="89">
        <v>1746</v>
      </c>
      <c r="D77" s="89"/>
      <c r="E77" s="89"/>
      <c r="F77" s="42" t="s">
        <v>737</v>
      </c>
    </row>
    <row r="78" spans="1:6" x14ac:dyDescent="0.25">
      <c r="A78" s="60" t="s">
        <v>713</v>
      </c>
      <c r="B78" s="90">
        <v>51317</v>
      </c>
      <c r="C78" s="89">
        <v>139</v>
      </c>
      <c r="D78" s="89"/>
      <c r="E78" s="89"/>
      <c r="F78" s="2" t="s">
        <v>738</v>
      </c>
    </row>
    <row r="79" spans="1:6" x14ac:dyDescent="0.25">
      <c r="A79" s="60" t="s">
        <v>720</v>
      </c>
      <c r="B79" s="91">
        <v>43281</v>
      </c>
      <c r="C79" s="89">
        <v>1300000</v>
      </c>
      <c r="D79" s="89"/>
      <c r="E79" s="89"/>
      <c r="F79" s="42" t="s">
        <v>736</v>
      </c>
    </row>
    <row r="80" spans="1:6" x14ac:dyDescent="0.25">
      <c r="A80" s="60" t="s">
        <v>720</v>
      </c>
      <c r="B80" s="90">
        <v>51317</v>
      </c>
      <c r="C80" s="89">
        <v>0</v>
      </c>
      <c r="D80" s="89"/>
      <c r="E80" s="89"/>
      <c r="F80" s="2" t="s">
        <v>738</v>
      </c>
    </row>
    <row r="81" spans="1:6" x14ac:dyDescent="0.25">
      <c r="A81" s="60" t="s">
        <v>714</v>
      </c>
      <c r="B81" s="91">
        <v>43281</v>
      </c>
      <c r="C81" s="89">
        <v>49917</v>
      </c>
      <c r="D81" s="89"/>
      <c r="E81" s="89"/>
      <c r="F81" s="42" t="s">
        <v>736</v>
      </c>
    </row>
    <row r="82" spans="1:6" x14ac:dyDescent="0.25">
      <c r="A82" s="60" t="s">
        <v>714</v>
      </c>
      <c r="B82" s="91">
        <v>43646</v>
      </c>
      <c r="C82" s="89">
        <v>51573</v>
      </c>
      <c r="D82" s="89"/>
      <c r="E82" s="89"/>
      <c r="F82" s="42" t="s">
        <v>737</v>
      </c>
    </row>
    <row r="83" spans="1:6" x14ac:dyDescent="0.25">
      <c r="A83" s="60" t="s">
        <v>714</v>
      </c>
      <c r="B83" s="90">
        <v>51317</v>
      </c>
      <c r="C83" s="89">
        <v>54909</v>
      </c>
      <c r="D83" s="89"/>
      <c r="E83" s="89"/>
      <c r="F83" s="2" t="s">
        <v>738</v>
      </c>
    </row>
    <row r="84" spans="1:6" x14ac:dyDescent="0.25">
      <c r="A84" s="60" t="s">
        <v>721</v>
      </c>
      <c r="B84" s="91">
        <v>42185</v>
      </c>
      <c r="C84" s="89">
        <v>127</v>
      </c>
      <c r="D84" s="89"/>
      <c r="E84" s="89"/>
      <c r="F84" s="42" t="s">
        <v>736</v>
      </c>
    </row>
    <row r="85" spans="1:6" x14ac:dyDescent="0.25">
      <c r="A85" s="60" t="s">
        <v>721</v>
      </c>
      <c r="B85" s="90">
        <v>51317</v>
      </c>
      <c r="C85" s="89">
        <v>57</v>
      </c>
      <c r="D85" s="89"/>
      <c r="E85" s="89"/>
      <c r="F85" s="2" t="s">
        <v>738</v>
      </c>
    </row>
    <row r="86" spans="1:6" x14ac:dyDescent="0.25">
      <c r="A86" s="60" t="s">
        <v>722</v>
      </c>
      <c r="B86" s="91">
        <v>42185</v>
      </c>
      <c r="C86" s="89">
        <v>12000</v>
      </c>
      <c r="D86" s="89"/>
      <c r="E86" s="89"/>
      <c r="F86" s="42" t="s">
        <v>736</v>
      </c>
    </row>
    <row r="87" spans="1:6" x14ac:dyDescent="0.25">
      <c r="A87" s="60" t="s">
        <v>722</v>
      </c>
      <c r="B87" s="90">
        <v>51317</v>
      </c>
      <c r="C87" s="89">
        <v>6700</v>
      </c>
      <c r="D87" s="89"/>
      <c r="E87" s="89"/>
      <c r="F87" s="2" t="s">
        <v>738</v>
      </c>
    </row>
    <row r="88" spans="1:6" x14ac:dyDescent="0.25">
      <c r="A88" s="60" t="s">
        <v>723</v>
      </c>
      <c r="B88" s="91">
        <v>43281</v>
      </c>
      <c r="C88" s="95">
        <v>17</v>
      </c>
      <c r="D88" s="95">
        <v>16</v>
      </c>
      <c r="E88" s="95">
        <v>18</v>
      </c>
      <c r="F88" s="42" t="s">
        <v>736</v>
      </c>
    </row>
    <row r="89" spans="1:6" x14ac:dyDescent="0.25">
      <c r="A89" s="60" t="s">
        <v>724</v>
      </c>
      <c r="B89" s="90">
        <v>51317</v>
      </c>
      <c r="C89" s="95">
        <v>30</v>
      </c>
      <c r="D89" s="88"/>
      <c r="E89" s="88"/>
      <c r="F89" s="2" t="s">
        <v>738</v>
      </c>
    </row>
    <row r="90" spans="1:6" x14ac:dyDescent="0.25">
      <c r="A90" s="60" t="s">
        <v>715</v>
      </c>
      <c r="B90" s="91">
        <v>43281</v>
      </c>
      <c r="C90" s="95">
        <v>41.67</v>
      </c>
      <c r="F90" s="42" t="s">
        <v>736</v>
      </c>
    </row>
    <row r="91" spans="1:6" x14ac:dyDescent="0.25">
      <c r="A91" s="60" t="s">
        <v>715</v>
      </c>
      <c r="B91" s="91">
        <v>43646</v>
      </c>
      <c r="C91" s="95">
        <v>41.11</v>
      </c>
      <c r="F91" s="42" t="s">
        <v>737</v>
      </c>
    </row>
    <row r="92" spans="1:6" x14ac:dyDescent="0.25">
      <c r="A92" s="60" t="s">
        <v>715</v>
      </c>
      <c r="B92" s="90">
        <v>51317</v>
      </c>
      <c r="C92" s="95">
        <v>90</v>
      </c>
      <c r="F92" s="2" t="s">
        <v>738</v>
      </c>
    </row>
    <row r="93" spans="1:6" x14ac:dyDescent="0.25">
      <c r="A93" s="60" t="s">
        <v>716</v>
      </c>
      <c r="F93" s="42" t="s">
        <v>736</v>
      </c>
    </row>
    <row r="94" spans="1:6" x14ac:dyDescent="0.25">
      <c r="A94" s="60" t="s">
        <v>716</v>
      </c>
      <c r="B94" s="90">
        <v>51317</v>
      </c>
      <c r="C94" s="95">
        <v>75</v>
      </c>
      <c r="F94" s="2" t="s">
        <v>738</v>
      </c>
    </row>
    <row r="95" spans="1:6" x14ac:dyDescent="0.25">
      <c r="A95" s="60" t="s">
        <v>725</v>
      </c>
      <c r="F95" s="42" t="s">
        <v>736</v>
      </c>
    </row>
    <row r="96" spans="1:6" x14ac:dyDescent="0.25">
      <c r="A96" s="60" t="s">
        <v>725</v>
      </c>
      <c r="B96" s="90">
        <v>51317</v>
      </c>
      <c r="C96" s="95">
        <v>100</v>
      </c>
      <c r="F96" s="2" t="s">
        <v>738</v>
      </c>
    </row>
    <row r="97" spans="1:6" x14ac:dyDescent="0.25">
      <c r="A97" s="61" t="s">
        <v>717</v>
      </c>
      <c r="B97" s="91">
        <v>43281</v>
      </c>
      <c r="C97" s="95">
        <v>75</v>
      </c>
      <c r="F97" s="42" t="s">
        <v>736</v>
      </c>
    </row>
    <row r="98" spans="1:6" x14ac:dyDescent="0.25">
      <c r="A98" s="61" t="s">
        <v>717</v>
      </c>
      <c r="B98" s="91">
        <v>43646</v>
      </c>
      <c r="C98" s="95">
        <v>80</v>
      </c>
      <c r="F98" s="42" t="s">
        <v>737</v>
      </c>
    </row>
    <row r="99" spans="1:6" x14ac:dyDescent="0.25">
      <c r="A99" s="61" t="s">
        <v>717</v>
      </c>
      <c r="B99" s="90">
        <v>51317</v>
      </c>
      <c r="C99" s="95">
        <v>100</v>
      </c>
      <c r="F99" s="2" t="s">
        <v>738</v>
      </c>
    </row>
    <row r="100" spans="1:6" x14ac:dyDescent="0.25">
      <c r="A100" s="61" t="s">
        <v>718</v>
      </c>
      <c r="B100" s="91">
        <v>43646</v>
      </c>
      <c r="C100" s="95">
        <v>5.5</v>
      </c>
      <c r="F100" s="42" t="s">
        <v>736</v>
      </c>
    </row>
    <row r="101" spans="1:6" x14ac:dyDescent="0.25">
      <c r="A101" s="61" t="s">
        <v>718</v>
      </c>
      <c r="B101" s="90">
        <v>51317</v>
      </c>
      <c r="C101" s="95">
        <v>100</v>
      </c>
      <c r="F101" s="2" t="s">
        <v>738</v>
      </c>
    </row>
    <row r="102" spans="1:6" x14ac:dyDescent="0.25">
      <c r="A102" s="61" t="s">
        <v>726</v>
      </c>
      <c r="B102" s="91">
        <v>43281</v>
      </c>
      <c r="C102" s="89">
        <v>4.17</v>
      </c>
      <c r="F102" s="42" t="s">
        <v>736</v>
      </c>
    </row>
    <row r="103" spans="1:6" x14ac:dyDescent="0.25">
      <c r="A103" s="61" t="s">
        <v>726</v>
      </c>
      <c r="B103" s="91">
        <v>43646</v>
      </c>
      <c r="C103" s="89">
        <v>4.13</v>
      </c>
      <c r="F103" s="42" t="s">
        <v>737</v>
      </c>
    </row>
    <row r="104" spans="1:6" x14ac:dyDescent="0.25">
      <c r="A104" s="61" t="s">
        <v>726</v>
      </c>
      <c r="B104" s="90">
        <v>51317</v>
      </c>
      <c r="C104" s="89">
        <v>4.38</v>
      </c>
      <c r="F104" s="2" t="s">
        <v>738</v>
      </c>
    </row>
    <row r="105" spans="1:6" x14ac:dyDescent="0.25">
      <c r="A105" s="61" t="s">
        <v>719</v>
      </c>
      <c r="F105" s="42" t="s">
        <v>736</v>
      </c>
    </row>
    <row r="106" spans="1:6" x14ac:dyDescent="0.25">
      <c r="A106" s="61" t="s">
        <v>719</v>
      </c>
      <c r="F106" s="2" t="s">
        <v>738</v>
      </c>
    </row>
    <row r="107" spans="1:6" x14ac:dyDescent="0.25">
      <c r="A107" s="61" t="s">
        <v>727</v>
      </c>
      <c r="B107" s="92">
        <v>40724</v>
      </c>
      <c r="C107" s="95">
        <v>55.000000000000007</v>
      </c>
      <c r="F107" s="42" t="s">
        <v>736</v>
      </c>
    </row>
    <row r="108" spans="1:6" x14ac:dyDescent="0.25">
      <c r="A108" s="61" t="s">
        <v>727</v>
      </c>
      <c r="B108" s="90">
        <v>51317</v>
      </c>
      <c r="C108" s="95">
        <v>57.8</v>
      </c>
      <c r="F108" s="2" t="s">
        <v>738</v>
      </c>
    </row>
  </sheetData>
  <autoFilter ref="A1:L108" xr:uid="{04467087-7743-4CB4-9D75-48881BCA7D64}"/>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E6674-0BEA-402B-B096-4F6D0C10F89E}">
  <sheetPr>
    <tabColor rgb="FF00B050"/>
  </sheetPr>
  <dimension ref="A1:C40"/>
  <sheetViews>
    <sheetView workbookViewId="0">
      <selection activeCell="I18" sqref="I18"/>
    </sheetView>
    <sheetView workbookViewId="1"/>
  </sheetViews>
  <sheetFormatPr defaultRowHeight="15" x14ac:dyDescent="0.25"/>
  <cols>
    <col min="1" max="1" width="11.85546875" bestFit="1" customWidth="1"/>
    <col min="2" max="2" width="12.85546875" bestFit="1" customWidth="1"/>
  </cols>
  <sheetData>
    <row r="1" spans="1:3" x14ac:dyDescent="0.25">
      <c r="A1" s="52" t="s">
        <v>729</v>
      </c>
      <c r="B1" s="85" t="s">
        <v>731</v>
      </c>
      <c r="C1" s="85" t="s">
        <v>742</v>
      </c>
    </row>
    <row r="2" spans="1:3" x14ac:dyDescent="0.25">
      <c r="A2" s="58" t="s">
        <v>690</v>
      </c>
      <c r="B2" t="s">
        <v>732</v>
      </c>
      <c r="C2" t="s">
        <v>750</v>
      </c>
    </row>
    <row r="3" spans="1:3" x14ac:dyDescent="0.25">
      <c r="A3" s="58" t="s">
        <v>692</v>
      </c>
      <c r="B3" t="s">
        <v>734</v>
      </c>
      <c r="C3" t="s">
        <v>751</v>
      </c>
    </row>
    <row r="4" spans="1:3" x14ac:dyDescent="0.25">
      <c r="A4" s="58" t="s">
        <v>691</v>
      </c>
      <c r="B4" t="s">
        <v>734</v>
      </c>
      <c r="C4" t="s">
        <v>751</v>
      </c>
    </row>
    <row r="5" spans="1:3" x14ac:dyDescent="0.25">
      <c r="A5" s="58" t="s">
        <v>693</v>
      </c>
      <c r="B5" t="s">
        <v>734</v>
      </c>
      <c r="C5" t="s">
        <v>751</v>
      </c>
    </row>
    <row r="6" spans="1:3" x14ac:dyDescent="0.25">
      <c r="A6" s="58" t="s">
        <v>694</v>
      </c>
      <c r="B6" t="s">
        <v>734</v>
      </c>
      <c r="C6" t="s">
        <v>751</v>
      </c>
    </row>
    <row r="7" spans="1:3" x14ac:dyDescent="0.25">
      <c r="A7" s="58" t="s">
        <v>695</v>
      </c>
      <c r="B7" t="s">
        <v>734</v>
      </c>
      <c r="C7" t="s">
        <v>751</v>
      </c>
    </row>
    <row r="8" spans="1:3" x14ac:dyDescent="0.25">
      <c r="A8" s="58" t="s">
        <v>698</v>
      </c>
      <c r="B8" t="s">
        <v>734</v>
      </c>
      <c r="C8" t="s">
        <v>751</v>
      </c>
    </row>
    <row r="9" spans="1:3" x14ac:dyDescent="0.25">
      <c r="A9" s="58" t="s">
        <v>739</v>
      </c>
      <c r="B9" t="s">
        <v>734</v>
      </c>
      <c r="C9" t="s">
        <v>751</v>
      </c>
    </row>
    <row r="10" spans="1:3" x14ac:dyDescent="0.25">
      <c r="A10" s="58" t="s">
        <v>740</v>
      </c>
      <c r="B10" t="s">
        <v>734</v>
      </c>
      <c r="C10" t="s">
        <v>751</v>
      </c>
    </row>
    <row r="11" spans="1:3" x14ac:dyDescent="0.25">
      <c r="A11" s="58" t="s">
        <v>696</v>
      </c>
      <c r="B11" t="s">
        <v>733</v>
      </c>
      <c r="C11" t="s">
        <v>752</v>
      </c>
    </row>
    <row r="12" spans="1:3" x14ac:dyDescent="0.25">
      <c r="A12" s="58" t="s">
        <v>697</v>
      </c>
      <c r="B12" t="s">
        <v>734</v>
      </c>
      <c r="C12" t="s">
        <v>751</v>
      </c>
    </row>
    <row r="13" spans="1:3" x14ac:dyDescent="0.25">
      <c r="A13" s="59" t="s">
        <v>699</v>
      </c>
      <c r="B13" t="s">
        <v>734</v>
      </c>
      <c r="C13" t="s">
        <v>751</v>
      </c>
    </row>
    <row r="14" spans="1:3" x14ac:dyDescent="0.25">
      <c r="A14" s="59" t="s">
        <v>700</v>
      </c>
      <c r="B14" t="s">
        <v>734</v>
      </c>
      <c r="C14" t="s">
        <v>751</v>
      </c>
    </row>
    <row r="15" spans="1:3" x14ac:dyDescent="0.25">
      <c r="A15" s="59" t="s">
        <v>701</v>
      </c>
      <c r="B15" t="s">
        <v>734</v>
      </c>
      <c r="C15" t="s">
        <v>751</v>
      </c>
    </row>
    <row r="16" spans="1:3" x14ac:dyDescent="0.25">
      <c r="A16" s="59" t="s">
        <v>702</v>
      </c>
      <c r="B16" t="s">
        <v>734</v>
      </c>
      <c r="C16" t="s">
        <v>751</v>
      </c>
    </row>
    <row r="17" spans="1:3" x14ac:dyDescent="0.25">
      <c r="A17" s="59" t="s">
        <v>703</v>
      </c>
      <c r="B17" t="s">
        <v>734</v>
      </c>
      <c r="C17" t="s">
        <v>751</v>
      </c>
    </row>
    <row r="18" spans="1:3" x14ac:dyDescent="0.25">
      <c r="A18" s="59" t="s">
        <v>704</v>
      </c>
      <c r="B18" t="s">
        <v>732</v>
      </c>
      <c r="C18" t="s">
        <v>750</v>
      </c>
    </row>
    <row r="19" spans="1:3" x14ac:dyDescent="0.25">
      <c r="A19" s="59" t="s">
        <v>705</v>
      </c>
      <c r="B19" t="s">
        <v>733</v>
      </c>
      <c r="C19" t="s">
        <v>752</v>
      </c>
    </row>
    <row r="20" spans="1:3" x14ac:dyDescent="0.25">
      <c r="A20" s="59" t="s">
        <v>706</v>
      </c>
      <c r="B20" t="s">
        <v>734</v>
      </c>
      <c r="C20" t="s">
        <v>751</v>
      </c>
    </row>
    <row r="21" spans="1:3" x14ac:dyDescent="0.25">
      <c r="A21" s="84" t="s">
        <v>707</v>
      </c>
      <c r="B21" t="s">
        <v>734</v>
      </c>
      <c r="C21" t="s">
        <v>751</v>
      </c>
    </row>
    <row r="22" spans="1:3" x14ac:dyDescent="0.25">
      <c r="A22" s="84" t="s">
        <v>708</v>
      </c>
      <c r="B22" t="s">
        <v>734</v>
      </c>
      <c r="C22" t="s">
        <v>751</v>
      </c>
    </row>
    <row r="23" spans="1:3" x14ac:dyDescent="0.25">
      <c r="A23" s="84" t="s">
        <v>709</v>
      </c>
      <c r="B23" t="s">
        <v>734</v>
      </c>
      <c r="C23" t="s">
        <v>751</v>
      </c>
    </row>
    <row r="24" spans="1:3" x14ac:dyDescent="0.25">
      <c r="A24" s="84" t="s">
        <v>710</v>
      </c>
      <c r="B24" t="s">
        <v>733</v>
      </c>
      <c r="C24" t="s">
        <v>753</v>
      </c>
    </row>
    <row r="25" spans="1:3" x14ac:dyDescent="0.25">
      <c r="A25" s="84" t="s">
        <v>711</v>
      </c>
      <c r="B25" t="s">
        <v>734</v>
      </c>
      <c r="C25" t="s">
        <v>751</v>
      </c>
    </row>
    <row r="26" spans="1:3" x14ac:dyDescent="0.25">
      <c r="A26" s="84" t="s">
        <v>712</v>
      </c>
      <c r="B26" t="s">
        <v>734</v>
      </c>
      <c r="C26" t="s">
        <v>751</v>
      </c>
    </row>
    <row r="27" spans="1:3" x14ac:dyDescent="0.25">
      <c r="A27" s="60" t="s">
        <v>713</v>
      </c>
      <c r="B27" t="s">
        <v>733</v>
      </c>
      <c r="C27" t="s">
        <v>754</v>
      </c>
    </row>
    <row r="28" spans="1:3" x14ac:dyDescent="0.25">
      <c r="A28" s="60" t="s">
        <v>720</v>
      </c>
      <c r="B28" t="s">
        <v>733</v>
      </c>
      <c r="C28" t="s">
        <v>754</v>
      </c>
    </row>
    <row r="29" spans="1:3" x14ac:dyDescent="0.25">
      <c r="A29" s="60" t="s">
        <v>714</v>
      </c>
      <c r="B29" t="s">
        <v>733</v>
      </c>
      <c r="C29" t="s">
        <v>755</v>
      </c>
    </row>
    <row r="30" spans="1:3" x14ac:dyDescent="0.25">
      <c r="A30" s="60" t="s">
        <v>721</v>
      </c>
      <c r="B30" t="s">
        <v>733</v>
      </c>
      <c r="C30" t="s">
        <v>756</v>
      </c>
    </row>
    <row r="31" spans="1:3" x14ac:dyDescent="0.25">
      <c r="A31" s="60" t="s">
        <v>722</v>
      </c>
      <c r="B31" t="s">
        <v>733</v>
      </c>
      <c r="C31" t="s">
        <v>756</v>
      </c>
    </row>
    <row r="32" spans="1:3" x14ac:dyDescent="0.25">
      <c r="A32" s="60" t="s">
        <v>724</v>
      </c>
      <c r="B32" t="s">
        <v>734</v>
      </c>
      <c r="C32" t="s">
        <v>751</v>
      </c>
    </row>
    <row r="33" spans="1:3" x14ac:dyDescent="0.25">
      <c r="A33" s="60" t="s">
        <v>715</v>
      </c>
      <c r="B33" t="s">
        <v>734</v>
      </c>
      <c r="C33" t="s">
        <v>751</v>
      </c>
    </row>
    <row r="34" spans="1:3" x14ac:dyDescent="0.25">
      <c r="A34" s="60" t="s">
        <v>716</v>
      </c>
      <c r="B34" t="s">
        <v>734</v>
      </c>
      <c r="C34" t="s">
        <v>751</v>
      </c>
    </row>
    <row r="35" spans="1:3" x14ac:dyDescent="0.25">
      <c r="A35" s="60" t="s">
        <v>725</v>
      </c>
      <c r="B35" t="s">
        <v>734</v>
      </c>
      <c r="C35" t="s">
        <v>751</v>
      </c>
    </row>
    <row r="36" spans="1:3" x14ac:dyDescent="0.25">
      <c r="A36" s="61" t="s">
        <v>717</v>
      </c>
      <c r="B36" t="s">
        <v>734</v>
      </c>
      <c r="C36" t="s">
        <v>751</v>
      </c>
    </row>
    <row r="37" spans="1:3" x14ac:dyDescent="0.25">
      <c r="A37" s="61" t="s">
        <v>718</v>
      </c>
      <c r="B37" t="s">
        <v>734</v>
      </c>
      <c r="C37" t="s">
        <v>751</v>
      </c>
    </row>
    <row r="38" spans="1:3" x14ac:dyDescent="0.25">
      <c r="A38" s="61" t="s">
        <v>726</v>
      </c>
      <c r="B38" t="s">
        <v>732</v>
      </c>
      <c r="C38" t="s">
        <v>750</v>
      </c>
    </row>
    <row r="39" spans="1:3" x14ac:dyDescent="0.25">
      <c r="A39" s="61" t="s">
        <v>719</v>
      </c>
      <c r="B39" t="s">
        <v>734</v>
      </c>
      <c r="C39" t="s">
        <v>751</v>
      </c>
    </row>
    <row r="40" spans="1:3" x14ac:dyDescent="0.25">
      <c r="A40" s="61" t="s">
        <v>727</v>
      </c>
      <c r="B40" t="s">
        <v>734</v>
      </c>
      <c r="C40" t="s">
        <v>751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Targets Indicators Measures</vt:lpstr>
      <vt:lpstr>Additional indicators</vt:lpstr>
      <vt:lpstr>Themeing indicators</vt:lpstr>
      <vt:lpstr>Notes</vt:lpstr>
      <vt:lpstr>indicator_list</vt:lpstr>
      <vt:lpstr>inds_goals</vt:lpstr>
      <vt:lpstr>goals</vt:lpstr>
      <vt:lpstr>data</vt:lpstr>
      <vt:lpstr>data_format</vt:lpstr>
    </vt:vector>
  </TitlesOfParts>
  <Company>Moonee Valley City Council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Corina De Araujo</dc:creator>
  <cp:lastModifiedBy>William Lai</cp:lastModifiedBy>
  <cp:lastPrinted>2018-01-23T01:53:59Z</cp:lastPrinted>
  <dcterms:created xsi:type="dcterms:W3CDTF">2018-01-18T06:18:29Z</dcterms:created>
  <dcterms:modified xsi:type="dcterms:W3CDTF">2019-11-27T21:48:31Z</dcterms:modified>
</cp:coreProperties>
</file>